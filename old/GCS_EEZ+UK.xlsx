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evingransee/Library/Mobile Documents/com~apple~CloudDocs/Master_thesis/CDR_min_cost/"/>
    </mc:Choice>
  </mc:AlternateContent>
  <xr:revisionPtr revIDLastSave="0" documentId="13_ncr:1_{EBC29883-D7A8-4F41-945B-49A68236D123}" xr6:coauthVersionLast="47" xr6:coauthVersionMax="47" xr10:uidLastSave="{00000000-0000-0000-0000-000000000000}"/>
  <bookViews>
    <workbookView xWindow="0" yWindow="500" windowWidth="28800" windowHeight="15940" activeTab="7" xr2:uid="{7C28435E-2221-7246-93CD-80D5B3BE1736}"/>
  </bookViews>
  <sheets>
    <sheet name="Sheet4" sheetId="4" r:id="rId1"/>
    <sheet name="S5" sheetId="1" r:id="rId2"/>
    <sheet name="Sheet3" sheetId="11" r:id="rId3"/>
    <sheet name="2050Const" sheetId="5" r:id="rId4"/>
    <sheet name="Sheet8" sheetId="8" r:id="rId5"/>
    <sheet name="2050_5%GR" sheetId="6" r:id="rId6"/>
    <sheet name="2050_IOGP" sheetId="7" r:id="rId7"/>
    <sheet name="Sheet1" sheetId="12" r:id="rId8"/>
  </sheets>
  <definedNames>
    <definedName name="_xlchart.v1.0" hidden="1">Sheet1!$A$1</definedName>
    <definedName name="_xlchart.v1.1" hidden="1">Sheet1!$A$2:$A$72</definedName>
    <definedName name="_xlchart.v1.10" hidden="1">Sheet1!$C$1</definedName>
    <definedName name="_xlchart.v1.11" hidden="1">Sheet1!$C$2:$C$72</definedName>
    <definedName name="_xlchart.v1.2" hidden="1">Sheet1!$B$1</definedName>
    <definedName name="_xlchart.v1.3" hidden="1">Sheet1!$B$2:$B$72</definedName>
    <definedName name="_xlchart.v1.4" hidden="1">Sheet1!$C$1</definedName>
    <definedName name="_xlchart.v1.5" hidden="1">Sheet1!$C$2:$C$72</definedName>
    <definedName name="_xlchart.v1.6" hidden="1">Sheet1!$A$1</definedName>
    <definedName name="_xlchart.v1.7" hidden="1">Sheet1!$A$2:$A$72</definedName>
    <definedName name="_xlchart.v1.8" hidden="1">Sheet1!$B$1</definedName>
    <definedName name="_xlchart.v1.9" hidden="1">Sheet1!$B$2:$B$72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 s="1"/>
  <c r="B52" i="6"/>
  <c r="B54" i="6"/>
  <c r="B56" i="6"/>
  <c r="B58" i="6"/>
  <c r="B60" i="6"/>
  <c r="B62" i="6"/>
  <c r="B64" i="6"/>
  <c r="B66" i="6"/>
  <c r="B68" i="6"/>
  <c r="B70" i="6"/>
  <c r="B72" i="6"/>
  <c r="E3" i="7"/>
  <c r="E2" i="7"/>
  <c r="C2" i="7"/>
  <c r="C3" i="7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B22" i="6"/>
  <c r="B23" i="6" s="1"/>
  <c r="D2" i="6"/>
  <c r="C4" i="6"/>
  <c r="C2" i="6"/>
  <c r="C3" i="6" s="1"/>
  <c r="D3" i="6" s="1"/>
  <c r="B5" i="7" l="1"/>
  <c r="B6" i="7" s="1"/>
  <c r="E4" i="7"/>
  <c r="E5" i="7"/>
  <c r="B24" i="6"/>
  <c r="E23" i="6"/>
  <c r="C5" i="6"/>
  <c r="D4" i="6"/>
  <c r="E22" i="6"/>
  <c r="D3" i="7"/>
  <c r="C4" i="7"/>
  <c r="D2" i="7"/>
  <c r="E6" i="7" l="1"/>
  <c r="B7" i="7"/>
  <c r="C6" i="6"/>
  <c r="D5" i="6"/>
  <c r="B25" i="6"/>
  <c r="E24" i="6"/>
  <c r="D4" i="7"/>
  <c r="C5" i="7"/>
  <c r="B8" i="7" l="1"/>
  <c r="E7" i="7"/>
  <c r="B26" i="6"/>
  <c r="E25" i="6"/>
  <c r="C7" i="6"/>
  <c r="D6" i="6"/>
  <c r="C6" i="7"/>
  <c r="D5" i="7"/>
  <c r="E8" i="7" l="1"/>
  <c r="B9" i="7"/>
  <c r="C8" i="6"/>
  <c r="D7" i="6"/>
  <c r="B27" i="6"/>
  <c r="E26" i="6"/>
  <c r="C7" i="7"/>
  <c r="D6" i="7"/>
  <c r="B10" i="7" l="1"/>
  <c r="E9" i="7"/>
  <c r="B28" i="6"/>
  <c r="E27" i="6"/>
  <c r="C9" i="6"/>
  <c r="D8" i="6"/>
  <c r="C8" i="7"/>
  <c r="D7" i="7"/>
  <c r="E10" i="7" l="1"/>
  <c r="B11" i="7"/>
  <c r="C10" i="6"/>
  <c r="D9" i="6"/>
  <c r="B29" i="6"/>
  <c r="E28" i="6"/>
  <c r="D8" i="7"/>
  <c r="C9" i="7"/>
  <c r="B12" i="7" l="1"/>
  <c r="E11" i="7"/>
  <c r="C11" i="6"/>
  <c r="D10" i="6"/>
  <c r="B30" i="6"/>
  <c r="E29" i="6"/>
  <c r="D9" i="7"/>
  <c r="C10" i="7"/>
  <c r="E12" i="7" l="1"/>
  <c r="B13" i="7"/>
  <c r="B31" i="6"/>
  <c r="E30" i="6"/>
  <c r="C12" i="6"/>
  <c r="D11" i="6"/>
  <c r="C11" i="7"/>
  <c r="D10" i="7"/>
  <c r="B14" i="7" l="1"/>
  <c r="E13" i="7"/>
  <c r="E22" i="7"/>
  <c r="C13" i="6"/>
  <c r="D12" i="6"/>
  <c r="B32" i="6"/>
  <c r="E31" i="6"/>
  <c r="C12" i="7"/>
  <c r="D11" i="7"/>
  <c r="B15" i="7" l="1"/>
  <c r="E14" i="7"/>
  <c r="E23" i="7"/>
  <c r="C14" i="6"/>
  <c r="D13" i="6"/>
  <c r="B33" i="6"/>
  <c r="E32" i="6"/>
  <c r="D12" i="7"/>
  <c r="C13" i="7"/>
  <c r="E15" i="7" l="1"/>
  <c r="B16" i="7"/>
  <c r="E24" i="7"/>
  <c r="B34" i="6"/>
  <c r="E33" i="6"/>
  <c r="C15" i="6"/>
  <c r="D14" i="6"/>
  <c r="D13" i="7"/>
  <c r="C14" i="7"/>
  <c r="E16" i="7" l="1"/>
  <c r="B17" i="7"/>
  <c r="E25" i="7"/>
  <c r="C16" i="6"/>
  <c r="D15" i="6"/>
  <c r="B35" i="6"/>
  <c r="E34" i="6"/>
  <c r="C15" i="7"/>
  <c r="D14" i="7"/>
  <c r="B18" i="7" l="1"/>
  <c r="E17" i="7"/>
  <c r="E26" i="7"/>
  <c r="C17" i="6"/>
  <c r="D16" i="6"/>
  <c r="B36" i="6"/>
  <c r="E35" i="6"/>
  <c r="D15" i="7"/>
  <c r="C16" i="7"/>
  <c r="E18" i="7" l="1"/>
  <c r="B19" i="7"/>
  <c r="E27" i="7"/>
  <c r="B37" i="6"/>
  <c r="E36" i="6"/>
  <c r="C18" i="6"/>
  <c r="D17" i="6"/>
  <c r="D16" i="7"/>
  <c r="C17" i="7"/>
  <c r="B20" i="7" l="1"/>
  <c r="E19" i="7"/>
  <c r="E28" i="7"/>
  <c r="C19" i="6"/>
  <c r="D18" i="6"/>
  <c r="B38" i="6"/>
  <c r="E37" i="6"/>
  <c r="C18" i="7"/>
  <c r="D17" i="7"/>
  <c r="B21" i="7" l="1"/>
  <c r="E21" i="7" s="1"/>
  <c r="E20" i="7"/>
  <c r="E29" i="7"/>
  <c r="C20" i="6"/>
  <c r="D19" i="6"/>
  <c r="B39" i="6"/>
  <c r="E38" i="6"/>
  <c r="C19" i="7"/>
  <c r="D18" i="7"/>
  <c r="E30" i="7" l="1"/>
  <c r="B40" i="6"/>
  <c r="E39" i="6"/>
  <c r="C21" i="6"/>
  <c r="D20" i="6"/>
  <c r="C20" i="7"/>
  <c r="D19" i="7"/>
  <c r="E31" i="7" l="1"/>
  <c r="C22" i="6"/>
  <c r="D21" i="6"/>
  <c r="B41" i="6"/>
  <c r="E40" i="6"/>
  <c r="D20" i="7"/>
  <c r="C21" i="7"/>
  <c r="E32" i="7" l="1"/>
  <c r="D22" i="6"/>
  <c r="C23" i="6"/>
  <c r="B42" i="6"/>
  <c r="E41" i="6"/>
  <c r="D21" i="7"/>
  <c r="C22" i="7"/>
  <c r="E33" i="7" l="1"/>
  <c r="B43" i="6"/>
  <c r="E42" i="6"/>
  <c r="C24" i="6"/>
  <c r="D23" i="6"/>
  <c r="D22" i="7"/>
  <c r="C23" i="7"/>
  <c r="E34" i="7" l="1"/>
  <c r="D24" i="6"/>
  <c r="C25" i="6"/>
  <c r="B44" i="6"/>
  <c r="E43" i="6"/>
  <c r="D23" i="7"/>
  <c r="C24" i="7"/>
  <c r="E35" i="7" l="1"/>
  <c r="B45" i="6"/>
  <c r="E44" i="6"/>
  <c r="D25" i="6"/>
  <c r="C26" i="6"/>
  <c r="D24" i="7"/>
  <c r="C25" i="7"/>
  <c r="E36" i="7" l="1"/>
  <c r="D26" i="6"/>
  <c r="C27" i="6"/>
  <c r="B46" i="6"/>
  <c r="E45" i="6"/>
  <c r="D25" i="7"/>
  <c r="C26" i="7"/>
  <c r="E37" i="7" l="1"/>
  <c r="D27" i="6"/>
  <c r="C28" i="6"/>
  <c r="B47" i="6"/>
  <c r="E46" i="6"/>
  <c r="D26" i="7"/>
  <c r="C27" i="7"/>
  <c r="E38" i="7" l="1"/>
  <c r="C29" i="6"/>
  <c r="D28" i="6"/>
  <c r="B48" i="6"/>
  <c r="E47" i="6"/>
  <c r="D27" i="7"/>
  <c r="C28" i="7"/>
  <c r="E39" i="7" l="1"/>
  <c r="B49" i="6"/>
  <c r="E48" i="6"/>
  <c r="D29" i="6"/>
  <c r="C30" i="6"/>
  <c r="D28" i="7"/>
  <c r="C29" i="7"/>
  <c r="E40" i="7" l="1"/>
  <c r="D30" i="6"/>
  <c r="C31" i="6"/>
  <c r="B50" i="6"/>
  <c r="E49" i="6"/>
  <c r="D29" i="7"/>
  <c r="C30" i="7"/>
  <c r="E41" i="7" l="1"/>
  <c r="D31" i="6"/>
  <c r="C32" i="6"/>
  <c r="E50" i="6"/>
  <c r="D30" i="7"/>
  <c r="C31" i="7"/>
  <c r="E42" i="7" l="1"/>
  <c r="E51" i="6"/>
  <c r="D32" i="6"/>
  <c r="C33" i="6"/>
  <c r="D31" i="7"/>
  <c r="C32" i="7"/>
  <c r="E43" i="7" l="1"/>
  <c r="D33" i="6"/>
  <c r="C34" i="6"/>
  <c r="E52" i="6"/>
  <c r="D32" i="7"/>
  <c r="C33" i="7"/>
  <c r="E44" i="7" l="1"/>
  <c r="E53" i="6"/>
  <c r="D34" i="6"/>
  <c r="C35" i="6"/>
  <c r="D33" i="7"/>
  <c r="C34" i="7"/>
  <c r="E45" i="7" l="1"/>
  <c r="D35" i="6"/>
  <c r="C36" i="6"/>
  <c r="E54" i="6"/>
  <c r="D34" i="7"/>
  <c r="C35" i="7"/>
  <c r="E46" i="7" l="1"/>
  <c r="E55" i="6"/>
  <c r="D36" i="6"/>
  <c r="C37" i="6"/>
  <c r="D35" i="7"/>
  <c r="C36" i="7"/>
  <c r="E47" i="7" l="1"/>
  <c r="D37" i="6"/>
  <c r="C38" i="6"/>
  <c r="E56" i="6"/>
  <c r="D36" i="7"/>
  <c r="C37" i="7"/>
  <c r="E48" i="7" l="1"/>
  <c r="D38" i="6"/>
  <c r="C39" i="6"/>
  <c r="E57" i="6"/>
  <c r="D37" i="7"/>
  <c r="C38" i="7"/>
  <c r="E49" i="7" l="1"/>
  <c r="D39" i="6"/>
  <c r="C40" i="6"/>
  <c r="E58" i="6"/>
  <c r="D38" i="7"/>
  <c r="C39" i="7"/>
  <c r="E50" i="7" l="1"/>
  <c r="D40" i="6"/>
  <c r="C41" i="6"/>
  <c r="E59" i="6"/>
  <c r="D39" i="7"/>
  <c r="C40" i="7"/>
  <c r="E51" i="7" l="1"/>
  <c r="E60" i="6"/>
  <c r="D41" i="6"/>
  <c r="C42" i="6"/>
  <c r="D40" i="7"/>
  <c r="C41" i="7"/>
  <c r="E52" i="7" l="1"/>
  <c r="E61" i="6"/>
  <c r="C43" i="6"/>
  <c r="D42" i="6"/>
  <c r="D41" i="7"/>
  <c r="C42" i="7"/>
  <c r="E53" i="7" l="1"/>
  <c r="E62" i="6"/>
  <c r="D43" i="6"/>
  <c r="C44" i="6"/>
  <c r="D42" i="7"/>
  <c r="C43" i="7"/>
  <c r="E54" i="7" l="1"/>
  <c r="C45" i="6"/>
  <c r="D44" i="6"/>
  <c r="E63" i="6"/>
  <c r="D43" i="7"/>
  <c r="C44" i="7"/>
  <c r="E55" i="7" l="1"/>
  <c r="E64" i="6"/>
  <c r="C46" i="6"/>
  <c r="D45" i="6"/>
  <c r="D44" i="7"/>
  <c r="C45" i="7"/>
  <c r="E56" i="7" l="1"/>
  <c r="D46" i="6"/>
  <c r="C47" i="6"/>
  <c r="E65" i="6"/>
  <c r="D45" i="7"/>
  <c r="C46" i="7"/>
  <c r="E57" i="7" l="1"/>
  <c r="D47" i="6"/>
  <c r="C48" i="6"/>
  <c r="E66" i="6"/>
  <c r="D46" i="7"/>
  <c r="C47" i="7"/>
  <c r="E58" i="7" l="1"/>
  <c r="C49" i="6"/>
  <c r="D48" i="6"/>
  <c r="E67" i="6"/>
  <c r="D47" i="7"/>
  <c r="C48" i="7"/>
  <c r="E59" i="7" l="1"/>
  <c r="C50" i="6"/>
  <c r="D49" i="6"/>
  <c r="E68" i="6"/>
  <c r="D48" i="7"/>
  <c r="C49" i="7"/>
  <c r="E60" i="7" l="1"/>
  <c r="C51" i="6"/>
  <c r="D50" i="6"/>
  <c r="E69" i="6"/>
  <c r="D49" i="7"/>
  <c r="C50" i="7"/>
  <c r="E61" i="7" l="1"/>
  <c r="E70" i="6"/>
  <c r="C52" i="6"/>
  <c r="D51" i="6"/>
  <c r="D50" i="7"/>
  <c r="C51" i="7"/>
  <c r="E62" i="7" l="1"/>
  <c r="C53" i="6"/>
  <c r="D52" i="6"/>
  <c r="E72" i="6"/>
  <c r="E71" i="6"/>
  <c r="D51" i="7"/>
  <c r="C52" i="7"/>
  <c r="E63" i="7" l="1"/>
  <c r="C54" i="6"/>
  <c r="D53" i="6"/>
  <c r="D52" i="7"/>
  <c r="C53" i="7"/>
  <c r="E64" i="7" l="1"/>
  <c r="D54" i="6"/>
  <c r="C55" i="6"/>
  <c r="D53" i="7"/>
  <c r="C54" i="7"/>
  <c r="E65" i="7" l="1"/>
  <c r="D55" i="6"/>
  <c r="C56" i="6"/>
  <c r="D54" i="7"/>
  <c r="C55" i="7"/>
  <c r="E66" i="7" l="1"/>
  <c r="C57" i="6"/>
  <c r="D56" i="6"/>
  <c r="D55" i="7"/>
  <c r="C56" i="7"/>
  <c r="E67" i="7" l="1"/>
  <c r="D57" i="6"/>
  <c r="C58" i="6"/>
  <c r="D56" i="7"/>
  <c r="C57" i="7"/>
  <c r="E68" i="7" l="1"/>
  <c r="C59" i="6"/>
  <c r="D58" i="6"/>
  <c r="D57" i="7"/>
  <c r="C58" i="7"/>
  <c r="E69" i="7" l="1"/>
  <c r="C60" i="6"/>
  <c r="D59" i="6"/>
  <c r="D58" i="7"/>
  <c r="C59" i="7"/>
  <c r="E70" i="7" l="1"/>
  <c r="C61" i="6"/>
  <c r="D60" i="6"/>
  <c r="D59" i="7"/>
  <c r="C60" i="7"/>
  <c r="E71" i="7" l="1"/>
  <c r="C62" i="6"/>
  <c r="D61" i="6"/>
  <c r="D60" i="7"/>
  <c r="C61" i="7"/>
  <c r="E72" i="7" l="1"/>
  <c r="C63" i="6"/>
  <c r="D62" i="6"/>
  <c r="D61" i="7"/>
  <c r="C62" i="7"/>
  <c r="D63" i="6" l="1"/>
  <c r="C64" i="6"/>
  <c r="D62" i="7"/>
  <c r="C63" i="7"/>
  <c r="C65" i="6" l="1"/>
  <c r="D64" i="6"/>
  <c r="D63" i="7"/>
  <c r="C64" i="7"/>
  <c r="C66" i="6" l="1"/>
  <c r="D65" i="6"/>
  <c r="D64" i="7"/>
  <c r="C65" i="7"/>
  <c r="D66" i="6" l="1"/>
  <c r="C67" i="6"/>
  <c r="D65" i="7"/>
  <c r="C66" i="7"/>
  <c r="C68" i="6" l="1"/>
  <c r="D67" i="6"/>
  <c r="D66" i="7"/>
  <c r="C67" i="7"/>
  <c r="C69" i="6" l="1"/>
  <c r="D68" i="6"/>
  <c r="D67" i="7"/>
  <c r="C68" i="7"/>
  <c r="C70" i="6" l="1"/>
  <c r="D69" i="6"/>
  <c r="D68" i="7"/>
  <c r="C69" i="7"/>
  <c r="D70" i="6" l="1"/>
  <c r="C71" i="6"/>
  <c r="D69" i="7"/>
  <c r="C70" i="7"/>
  <c r="C72" i="6" l="1"/>
  <c r="D72" i="6" s="1"/>
  <c r="D71" i="6"/>
  <c r="D70" i="7"/>
  <c r="C71" i="7"/>
  <c r="D71" i="7" l="1"/>
  <c r="C72" i="7"/>
  <c r="D72" i="7" l="1"/>
</calcChain>
</file>

<file path=xl/sharedStrings.xml><?xml version="1.0" encoding="utf-8"?>
<sst xmlns="http://schemas.openxmlformats.org/spreadsheetml/2006/main" count="115" uniqueCount="76">
  <si>
    <t>Sweden</t>
  </si>
  <si>
    <t>SWE</t>
  </si>
  <si>
    <t>Slovenia</t>
  </si>
  <si>
    <t>SVN</t>
  </si>
  <si>
    <t>Slovakia</t>
  </si>
  <si>
    <t>SVK</t>
  </si>
  <si>
    <t>Romania</t>
  </si>
  <si>
    <t>ROU</t>
  </si>
  <si>
    <t>Portugal</t>
  </si>
  <si>
    <t>PRT</t>
  </si>
  <si>
    <t>Poland</t>
  </si>
  <si>
    <t>POL</t>
  </si>
  <si>
    <t>Norway</t>
  </si>
  <si>
    <t>NOR</t>
  </si>
  <si>
    <t>Netherlands</t>
  </si>
  <si>
    <t>NLD</t>
  </si>
  <si>
    <t>Malta</t>
  </si>
  <si>
    <t>MLT</t>
  </si>
  <si>
    <t>Latvia</t>
  </si>
  <si>
    <t>LVA</t>
  </si>
  <si>
    <t>Luxembourg</t>
  </si>
  <si>
    <t>LUX</t>
  </si>
  <si>
    <t>Lithuania</t>
  </si>
  <si>
    <t>LTU</t>
  </si>
  <si>
    <t>Italy</t>
  </si>
  <si>
    <t>ITA</t>
  </si>
  <si>
    <t>Ireland</t>
  </si>
  <si>
    <t>IRL</t>
  </si>
  <si>
    <t>Hungary</t>
  </si>
  <si>
    <t>HUN</t>
  </si>
  <si>
    <t>Croatia</t>
  </si>
  <si>
    <t>HRV</t>
  </si>
  <si>
    <t>Greece</t>
  </si>
  <si>
    <t>GRC</t>
  </si>
  <si>
    <t>United Kingdom of Great Britain and Northern Ireland</t>
  </si>
  <si>
    <t>GBR</t>
  </si>
  <si>
    <t>France</t>
  </si>
  <si>
    <t>FRA</t>
  </si>
  <si>
    <t>Finland</t>
  </si>
  <si>
    <t>FIN</t>
  </si>
  <si>
    <t>Estonia</t>
  </si>
  <si>
    <t>EST</t>
  </si>
  <si>
    <t>Spain</t>
  </si>
  <si>
    <t>ESP</t>
  </si>
  <si>
    <t>Denmark</t>
  </si>
  <si>
    <t>DNK</t>
  </si>
  <si>
    <t>Germany</t>
  </si>
  <si>
    <t>DEU</t>
  </si>
  <si>
    <t>Czechia</t>
  </si>
  <si>
    <t>CZE</t>
  </si>
  <si>
    <t>Cyprus</t>
  </si>
  <si>
    <t>CYP</t>
  </si>
  <si>
    <t>Bulgaria</t>
  </si>
  <si>
    <t>BGR</t>
  </si>
  <si>
    <t>Belgium</t>
  </si>
  <si>
    <t>BEL</t>
  </si>
  <si>
    <t>Austria</t>
  </si>
  <si>
    <t>AUT</t>
  </si>
  <si>
    <t>Country</t>
  </si>
  <si>
    <t>Code</t>
  </si>
  <si>
    <t>Potential Storage (Gt)</t>
  </si>
  <si>
    <t>Row Labels</t>
  </si>
  <si>
    <t>Grand Total</t>
  </si>
  <si>
    <t>Sum of Potential Storage (Gt)</t>
  </si>
  <si>
    <t>Year</t>
  </si>
  <si>
    <t>storage amount</t>
  </si>
  <si>
    <t>Cummulative</t>
  </si>
  <si>
    <t>Cumalitve (Gt)</t>
  </si>
  <si>
    <t>Injection Rate</t>
  </si>
  <si>
    <t>Injection Rate (Gt)</t>
  </si>
  <si>
    <t>Cumulative Storage (Gt)</t>
  </si>
  <si>
    <t>Sum of Cumulative Storage (Gt)</t>
  </si>
  <si>
    <t>Injection Rate Per Annum (Gt)</t>
  </si>
  <si>
    <t>Sum of Injection Rate Per Annum (Gt)</t>
  </si>
  <si>
    <t>Stop at ~1 Gt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</si>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</sst>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[GCS_EEZ+UK.xlsx]Sheet4!PivotTable3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Geological</a:t>
            </a:r>
            <a:r>
              <a:rPr lang="en-US" baseline="0"/>
              <a:t>  Carbon Storage Potentials for EEZ + 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Sheet4!$A$4:$A$33</c:f>
              <c:strCache>
                <c:ptCount val="29"/>
                <c:pt idx="0">
                  <c:v>AUT</c:v>
                </c:pt>
                <c:pt idx="1">
                  <c:v>BEL</c:v>
                </c:pt>
                <c:pt idx="2">
                  <c:v>BGR</c:v>
                </c:pt>
                <c:pt idx="3">
                  <c:v>CYP</c:v>
                </c:pt>
                <c:pt idx="4">
                  <c:v>CZE</c:v>
                </c:pt>
                <c:pt idx="5">
                  <c:v>DEU</c:v>
                </c:pt>
                <c:pt idx="6">
                  <c:v>DNK</c:v>
                </c:pt>
                <c:pt idx="7">
                  <c:v>ESP</c:v>
                </c:pt>
                <c:pt idx="8">
                  <c:v>EST</c:v>
                </c:pt>
                <c:pt idx="9">
                  <c:v>FIN</c:v>
                </c:pt>
                <c:pt idx="10">
                  <c:v>FRA</c:v>
                </c:pt>
                <c:pt idx="11">
                  <c:v>GBR</c:v>
                </c:pt>
                <c:pt idx="12">
                  <c:v>GRC</c:v>
                </c:pt>
                <c:pt idx="13">
                  <c:v>HRV</c:v>
                </c:pt>
                <c:pt idx="14">
                  <c:v>HUN</c:v>
                </c:pt>
                <c:pt idx="15">
                  <c:v>IRL</c:v>
                </c:pt>
                <c:pt idx="16">
                  <c:v>ITA</c:v>
                </c:pt>
                <c:pt idx="17">
                  <c:v>LTU</c:v>
                </c:pt>
                <c:pt idx="18">
                  <c:v>LUX</c:v>
                </c:pt>
                <c:pt idx="19">
                  <c:v>LVA</c:v>
                </c:pt>
                <c:pt idx="20">
                  <c:v>MLT</c:v>
                </c:pt>
                <c:pt idx="21">
                  <c:v>NLD</c:v>
                </c:pt>
                <c:pt idx="22">
                  <c:v>NOR</c:v>
                </c:pt>
                <c:pt idx="23">
                  <c:v>POL</c:v>
                </c:pt>
                <c:pt idx="24">
                  <c:v>PRT</c:v>
                </c:pt>
                <c:pt idx="25">
                  <c:v>ROU</c:v>
                </c:pt>
                <c:pt idx="26">
                  <c:v>SVK</c:v>
                </c:pt>
                <c:pt idx="27">
                  <c:v>SVN</c:v>
                </c:pt>
                <c:pt idx="28">
                  <c:v>SWE</c:v>
                </c:pt>
              </c:strCache>
            </c:strRef>
          </c:cat>
          <c:val>
            <c:numRef>
              <c:f>Sheet4!$B$4:$B$33</c:f>
              <c:numCache>
                <c:formatCode>0.00</c:formatCode>
                <c:ptCount val="29"/>
                <c:pt idx="0">
                  <c:v>1.13E-5</c:v>
                </c:pt>
                <c:pt idx="1">
                  <c:v>0</c:v>
                </c:pt>
                <c:pt idx="2">
                  <c:v>0.57342807799999995</c:v>
                </c:pt>
                <c:pt idx="3">
                  <c:v>2.3345825000000001E-2</c:v>
                </c:pt>
                <c:pt idx="4">
                  <c:v>0</c:v>
                </c:pt>
                <c:pt idx="5">
                  <c:v>1.2606488659999999</c:v>
                </c:pt>
                <c:pt idx="6">
                  <c:v>4.6686674740000003</c:v>
                </c:pt>
                <c:pt idx="7">
                  <c:v>1.8791301039999999</c:v>
                </c:pt>
                <c:pt idx="8">
                  <c:v>3.7213110000000001E-3</c:v>
                </c:pt>
                <c:pt idx="9">
                  <c:v>0</c:v>
                </c:pt>
                <c:pt idx="10">
                  <c:v>3.6033377170000001</c:v>
                </c:pt>
                <c:pt idx="11">
                  <c:v>8.9017297420000006</c:v>
                </c:pt>
                <c:pt idx="12">
                  <c:v>1.600197353</c:v>
                </c:pt>
                <c:pt idx="13">
                  <c:v>1.308291906</c:v>
                </c:pt>
                <c:pt idx="14">
                  <c:v>2.1748263E-2</c:v>
                </c:pt>
                <c:pt idx="15">
                  <c:v>3.062954408</c:v>
                </c:pt>
                <c:pt idx="16">
                  <c:v>1.9837426360000001</c:v>
                </c:pt>
                <c:pt idx="17">
                  <c:v>0.42391875600000001</c:v>
                </c:pt>
                <c:pt idx="18">
                  <c:v>0</c:v>
                </c:pt>
                <c:pt idx="19">
                  <c:v>0.39869689600000002</c:v>
                </c:pt>
                <c:pt idx="20">
                  <c:v>0.58415423399999999</c:v>
                </c:pt>
                <c:pt idx="21">
                  <c:v>1.8310086879999998</c:v>
                </c:pt>
                <c:pt idx="22">
                  <c:v>6.9474020039999997</c:v>
                </c:pt>
                <c:pt idx="23">
                  <c:v>1.9161548879999999</c:v>
                </c:pt>
                <c:pt idx="24">
                  <c:v>0.40063056999999996</c:v>
                </c:pt>
                <c:pt idx="25">
                  <c:v>0.88219997699999997</c:v>
                </c:pt>
                <c:pt idx="26">
                  <c:v>6.7000000000000002E-5</c:v>
                </c:pt>
                <c:pt idx="27">
                  <c:v>0</c:v>
                </c:pt>
                <c:pt idx="28">
                  <c:v>0.247208761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7-4046-BE58-A72B42B4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62976"/>
        <c:axId val="43815728"/>
      </c:barChart>
      <c:catAx>
        <c:axId val="433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3815728"/>
        <c:crosses val="autoZero"/>
        <c:auto val="1"/>
        <c:lblAlgn val="ctr"/>
        <c:lblOffset val="100"/>
        <c:noMultiLvlLbl val="0"/>
      </c:catAx>
      <c:valAx>
        <c:axId val="438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336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GCS</a:t>
            </a:r>
            <a:r>
              <a:rPr lang="en-GB" baseline="0"/>
              <a:t> with Constant Injection from 2040-2100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'2050Const'!$B$1</c:f>
              <c:strCache>
                <c:ptCount val="1"/>
                <c:pt idx="0">
                  <c:v>Cumulative Storage (Gt)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'2050Const'!$A$2:$A$72</c:f>
              <c:numCache>
                <c:formatCode>General</c:formatCode>
                <c:ptCount val="7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  <c:pt idx="21">
                  <c:v>2051</c:v>
                </c:pt>
                <c:pt idx="22">
                  <c:v>2052</c:v>
                </c:pt>
                <c:pt idx="23">
                  <c:v>2053</c:v>
                </c:pt>
                <c:pt idx="24">
                  <c:v>2054</c:v>
                </c:pt>
                <c:pt idx="25">
                  <c:v>2055</c:v>
                </c:pt>
                <c:pt idx="26">
                  <c:v>2056</c:v>
                </c:pt>
                <c:pt idx="27">
                  <c:v>2057</c:v>
                </c:pt>
                <c:pt idx="28">
                  <c:v>2058</c:v>
                </c:pt>
                <c:pt idx="29">
                  <c:v>2059</c:v>
                </c:pt>
                <c:pt idx="30">
                  <c:v>2060</c:v>
                </c:pt>
                <c:pt idx="31">
                  <c:v>2061</c:v>
                </c:pt>
                <c:pt idx="32">
                  <c:v>2062</c:v>
                </c:pt>
                <c:pt idx="33">
                  <c:v>2063</c:v>
                </c:pt>
                <c:pt idx="34">
                  <c:v>2064</c:v>
                </c:pt>
                <c:pt idx="35">
                  <c:v>2065</c:v>
                </c:pt>
                <c:pt idx="36">
                  <c:v>2066</c:v>
                </c:pt>
                <c:pt idx="37">
                  <c:v>2067</c:v>
                </c:pt>
                <c:pt idx="38">
                  <c:v>2068</c:v>
                </c:pt>
                <c:pt idx="39">
                  <c:v>2069</c:v>
                </c:pt>
                <c:pt idx="40">
                  <c:v>2070</c:v>
                </c:pt>
                <c:pt idx="41">
                  <c:v>2071</c:v>
                </c:pt>
                <c:pt idx="42">
                  <c:v>2072</c:v>
                </c:pt>
                <c:pt idx="43">
                  <c:v>2073</c:v>
                </c:pt>
                <c:pt idx="44">
                  <c:v>2074</c:v>
                </c:pt>
                <c:pt idx="45">
                  <c:v>2075</c:v>
                </c:pt>
                <c:pt idx="46">
                  <c:v>2076</c:v>
                </c:pt>
                <c:pt idx="47">
                  <c:v>2077</c:v>
                </c:pt>
                <c:pt idx="48">
                  <c:v>2078</c:v>
                </c:pt>
                <c:pt idx="49">
                  <c:v>2079</c:v>
                </c:pt>
                <c:pt idx="50">
                  <c:v>2080</c:v>
                </c:pt>
                <c:pt idx="51">
                  <c:v>2081</c:v>
                </c:pt>
                <c:pt idx="52">
                  <c:v>2082</c:v>
                </c:pt>
                <c:pt idx="53">
                  <c:v>2083</c:v>
                </c:pt>
                <c:pt idx="54">
                  <c:v>2084</c:v>
                </c:pt>
                <c:pt idx="55">
                  <c:v>2085</c:v>
                </c:pt>
                <c:pt idx="56">
                  <c:v>2086</c:v>
                </c:pt>
                <c:pt idx="57">
                  <c:v>2087</c:v>
                </c:pt>
                <c:pt idx="58">
                  <c:v>2088</c:v>
                </c:pt>
                <c:pt idx="59">
                  <c:v>2089</c:v>
                </c:pt>
                <c:pt idx="60">
                  <c:v>2090</c:v>
                </c:pt>
                <c:pt idx="61">
                  <c:v>2091</c:v>
                </c:pt>
                <c:pt idx="62">
                  <c:v>2092</c:v>
                </c:pt>
                <c:pt idx="63">
                  <c:v>2093</c:v>
                </c:pt>
                <c:pt idx="64">
                  <c:v>2094</c:v>
                </c:pt>
                <c:pt idx="65">
                  <c:v>2095</c:v>
                </c:pt>
                <c:pt idx="66">
                  <c:v>2096</c:v>
                </c:pt>
                <c:pt idx="67">
                  <c:v>2097</c:v>
                </c:pt>
                <c:pt idx="68">
                  <c:v>2098</c:v>
                </c:pt>
                <c:pt idx="69">
                  <c:v>2099</c:v>
                </c:pt>
                <c:pt idx="70">
                  <c:v>2100</c:v>
                </c:pt>
              </c:numCache>
            </c:numRef>
          </c:cat>
          <c:val>
            <c:numRef>
              <c:f>'2050Const'!$B$2:$B$72</c:f>
              <c:numCache>
                <c:formatCode>General</c:formatCode>
                <c:ptCount val="71"/>
                <c:pt idx="0">
                  <c:v>0.05</c:v>
                </c:pt>
                <c:pt idx="1">
                  <c:v>0.109</c:v>
                </c:pt>
                <c:pt idx="2">
                  <c:v>0.17862</c:v>
                </c:pt>
                <c:pt idx="3">
                  <c:v>0.26077159999999999</c:v>
                </c:pt>
                <c:pt idx="4">
                  <c:v>0.35771048799999994</c:v>
                </c:pt>
                <c:pt idx="5">
                  <c:v>0.47209837583999992</c:v>
                </c:pt>
                <c:pt idx="6">
                  <c:v>0.60707608349119979</c:v>
                </c:pt>
                <c:pt idx="7">
                  <c:v>0.76634977851961572</c:v>
                </c:pt>
                <c:pt idx="8">
                  <c:v>0.95429273865314646</c:v>
                </c:pt>
                <c:pt idx="9">
                  <c:v>1.1760654316107126</c:v>
                </c:pt>
                <c:pt idx="10">
                  <c:v>1.4266685746527625</c:v>
                </c:pt>
                <c:pt idx="11">
                  <c:v>1.6772717176948124</c:v>
                </c:pt>
                <c:pt idx="12">
                  <c:v>1.9278748607368623</c:v>
                </c:pt>
                <c:pt idx="13">
                  <c:v>2.1784780037789124</c:v>
                </c:pt>
                <c:pt idx="14">
                  <c:v>2.4290811468209621</c:v>
                </c:pt>
                <c:pt idx="15">
                  <c:v>2.6796842898630122</c:v>
                </c:pt>
                <c:pt idx="16">
                  <c:v>2.9302874329050619</c:v>
                </c:pt>
                <c:pt idx="17">
                  <c:v>3.1808905759471116</c:v>
                </c:pt>
                <c:pt idx="18">
                  <c:v>3.4314937189891617</c:v>
                </c:pt>
                <c:pt idx="19">
                  <c:v>3.6820968620312113</c:v>
                </c:pt>
                <c:pt idx="20">
                  <c:v>3.9327000050732615</c:v>
                </c:pt>
                <c:pt idx="21">
                  <c:v>4.1833031481153116</c:v>
                </c:pt>
                <c:pt idx="22">
                  <c:v>4.4339062911573608</c:v>
                </c:pt>
                <c:pt idx="23">
                  <c:v>4.6845094341994109</c:v>
                </c:pt>
                <c:pt idx="24">
                  <c:v>4.935112577241461</c:v>
                </c:pt>
                <c:pt idx="25">
                  <c:v>5.1857157202835102</c:v>
                </c:pt>
                <c:pt idx="26">
                  <c:v>5.4363188633255604</c:v>
                </c:pt>
                <c:pt idx="27">
                  <c:v>5.6869220063676105</c:v>
                </c:pt>
                <c:pt idx="28">
                  <c:v>5.9375251494096597</c:v>
                </c:pt>
                <c:pt idx="29">
                  <c:v>6.1881282924517098</c:v>
                </c:pt>
                <c:pt idx="30">
                  <c:v>6.4387314354937599</c:v>
                </c:pt>
                <c:pt idx="31">
                  <c:v>6.68933457853581</c:v>
                </c:pt>
                <c:pt idx="32">
                  <c:v>6.9399377215778593</c:v>
                </c:pt>
                <c:pt idx="33">
                  <c:v>7.1905408646199094</c:v>
                </c:pt>
                <c:pt idx="34">
                  <c:v>7.4411440076619595</c:v>
                </c:pt>
                <c:pt idx="35">
                  <c:v>7.6917471507040087</c:v>
                </c:pt>
                <c:pt idx="36">
                  <c:v>7.9423502937460588</c:v>
                </c:pt>
                <c:pt idx="37">
                  <c:v>8.1929534367881089</c:v>
                </c:pt>
                <c:pt idx="38">
                  <c:v>8.4435565798301599</c:v>
                </c:pt>
                <c:pt idx="39">
                  <c:v>8.6941597228722092</c:v>
                </c:pt>
                <c:pt idx="40">
                  <c:v>8.9447628659142584</c:v>
                </c:pt>
                <c:pt idx="41">
                  <c:v>9.1953660089563094</c:v>
                </c:pt>
                <c:pt idx="42">
                  <c:v>9.4459691519983586</c:v>
                </c:pt>
                <c:pt idx="43">
                  <c:v>9.6965722950404096</c:v>
                </c:pt>
                <c:pt idx="44">
                  <c:v>9.9471754380824589</c:v>
                </c:pt>
                <c:pt idx="45">
                  <c:v>10.197778581124508</c:v>
                </c:pt>
                <c:pt idx="46">
                  <c:v>10.448381724166559</c:v>
                </c:pt>
                <c:pt idx="47">
                  <c:v>10.698984867208608</c:v>
                </c:pt>
                <c:pt idx="48">
                  <c:v>10.949588010250658</c:v>
                </c:pt>
                <c:pt idx="49">
                  <c:v>11.200191153292709</c:v>
                </c:pt>
                <c:pt idx="50">
                  <c:v>11.450794296334758</c:v>
                </c:pt>
                <c:pt idx="51">
                  <c:v>11.701397439376807</c:v>
                </c:pt>
                <c:pt idx="52">
                  <c:v>11.952000582418858</c:v>
                </c:pt>
                <c:pt idx="53">
                  <c:v>12.202603725460907</c:v>
                </c:pt>
                <c:pt idx="54">
                  <c:v>12.453206868502956</c:v>
                </c:pt>
                <c:pt idx="55">
                  <c:v>12.703810011545007</c:v>
                </c:pt>
                <c:pt idx="56">
                  <c:v>12.954413154587057</c:v>
                </c:pt>
                <c:pt idx="57">
                  <c:v>13.205016297629106</c:v>
                </c:pt>
                <c:pt idx="58">
                  <c:v>13.455619440671157</c:v>
                </c:pt>
                <c:pt idx="59">
                  <c:v>13.706222583713206</c:v>
                </c:pt>
                <c:pt idx="60">
                  <c:v>13.956825726755257</c:v>
                </c:pt>
                <c:pt idx="61">
                  <c:v>14.207428869797306</c:v>
                </c:pt>
                <c:pt idx="62">
                  <c:v>14.458032012839356</c:v>
                </c:pt>
                <c:pt idx="63">
                  <c:v>14.708635155881407</c:v>
                </c:pt>
                <c:pt idx="64">
                  <c:v>14.959238298923456</c:v>
                </c:pt>
                <c:pt idx="65">
                  <c:v>15.209841441965505</c:v>
                </c:pt>
                <c:pt idx="66">
                  <c:v>15.460444585007556</c:v>
                </c:pt>
                <c:pt idx="67">
                  <c:v>15.711047728049605</c:v>
                </c:pt>
                <c:pt idx="68">
                  <c:v>15.961650871091654</c:v>
                </c:pt>
                <c:pt idx="69">
                  <c:v>16.212254014133705</c:v>
                </c:pt>
                <c:pt idx="70">
                  <c:v>16.462857157175758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8-5341-837E-AAEE58CACEE7}"/>
            </c:ext>
          </c:extLst>
        </c:ser>
        <c:ser>
          <c:idx val="1"/>
          <c:order val="1"/>
          <c:tx>
            <c:strRef>
              <c:f>'2050Const'!$C$1</c:f>
              <c:strCache>
                <c:ptCount val="1"/>
                <c:pt idx="0">
                  <c:v>Injection Rate Per Annum (Gt)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'2050Const'!$A$2:$A$72</c:f>
              <c:numCache>
                <c:formatCode>General</c:formatCode>
                <c:ptCount val="7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  <c:pt idx="21">
                  <c:v>2051</c:v>
                </c:pt>
                <c:pt idx="22">
                  <c:v>2052</c:v>
                </c:pt>
                <c:pt idx="23">
                  <c:v>2053</c:v>
                </c:pt>
                <c:pt idx="24">
                  <c:v>2054</c:v>
                </c:pt>
                <c:pt idx="25">
                  <c:v>2055</c:v>
                </c:pt>
                <c:pt idx="26">
                  <c:v>2056</c:v>
                </c:pt>
                <c:pt idx="27">
                  <c:v>2057</c:v>
                </c:pt>
                <c:pt idx="28">
                  <c:v>2058</c:v>
                </c:pt>
                <c:pt idx="29">
                  <c:v>2059</c:v>
                </c:pt>
                <c:pt idx="30">
                  <c:v>2060</c:v>
                </c:pt>
                <c:pt idx="31">
                  <c:v>2061</c:v>
                </c:pt>
                <c:pt idx="32">
                  <c:v>2062</c:v>
                </c:pt>
                <c:pt idx="33">
                  <c:v>2063</c:v>
                </c:pt>
                <c:pt idx="34">
                  <c:v>2064</c:v>
                </c:pt>
                <c:pt idx="35">
                  <c:v>2065</c:v>
                </c:pt>
                <c:pt idx="36">
                  <c:v>2066</c:v>
                </c:pt>
                <c:pt idx="37">
                  <c:v>2067</c:v>
                </c:pt>
                <c:pt idx="38">
                  <c:v>2068</c:v>
                </c:pt>
                <c:pt idx="39">
                  <c:v>2069</c:v>
                </c:pt>
                <c:pt idx="40">
                  <c:v>2070</c:v>
                </c:pt>
                <c:pt idx="41">
                  <c:v>2071</c:v>
                </c:pt>
                <c:pt idx="42">
                  <c:v>2072</c:v>
                </c:pt>
                <c:pt idx="43">
                  <c:v>2073</c:v>
                </c:pt>
                <c:pt idx="44">
                  <c:v>2074</c:v>
                </c:pt>
                <c:pt idx="45">
                  <c:v>2075</c:v>
                </c:pt>
                <c:pt idx="46">
                  <c:v>2076</c:v>
                </c:pt>
                <c:pt idx="47">
                  <c:v>2077</c:v>
                </c:pt>
                <c:pt idx="48">
                  <c:v>2078</c:v>
                </c:pt>
                <c:pt idx="49">
                  <c:v>2079</c:v>
                </c:pt>
                <c:pt idx="50">
                  <c:v>2080</c:v>
                </c:pt>
                <c:pt idx="51">
                  <c:v>2081</c:v>
                </c:pt>
                <c:pt idx="52">
                  <c:v>2082</c:v>
                </c:pt>
                <c:pt idx="53">
                  <c:v>2083</c:v>
                </c:pt>
                <c:pt idx="54">
                  <c:v>2084</c:v>
                </c:pt>
                <c:pt idx="55">
                  <c:v>2085</c:v>
                </c:pt>
                <c:pt idx="56">
                  <c:v>2086</c:v>
                </c:pt>
                <c:pt idx="57">
                  <c:v>2087</c:v>
                </c:pt>
                <c:pt idx="58">
                  <c:v>2088</c:v>
                </c:pt>
                <c:pt idx="59">
                  <c:v>2089</c:v>
                </c:pt>
                <c:pt idx="60">
                  <c:v>2090</c:v>
                </c:pt>
                <c:pt idx="61">
                  <c:v>2091</c:v>
                </c:pt>
                <c:pt idx="62">
                  <c:v>2092</c:v>
                </c:pt>
                <c:pt idx="63">
                  <c:v>2093</c:v>
                </c:pt>
                <c:pt idx="64">
                  <c:v>2094</c:v>
                </c:pt>
                <c:pt idx="65">
                  <c:v>2095</c:v>
                </c:pt>
                <c:pt idx="66">
                  <c:v>2096</c:v>
                </c:pt>
                <c:pt idx="67">
                  <c:v>2097</c:v>
                </c:pt>
                <c:pt idx="68">
                  <c:v>2098</c:v>
                </c:pt>
                <c:pt idx="69">
                  <c:v>2099</c:v>
                </c:pt>
                <c:pt idx="70">
                  <c:v>2100</c:v>
                </c:pt>
              </c:numCache>
            </c:numRef>
          </c:cat>
          <c:val>
            <c:numRef>
              <c:f>'2050Const'!$C$2:$C$72</c:f>
              <c:numCache>
                <c:formatCode>General</c:formatCode>
                <c:ptCount val="71"/>
                <c:pt idx="0">
                  <c:v>0.05</c:v>
                </c:pt>
                <c:pt idx="1">
                  <c:v>5.8999999999999997E-2</c:v>
                </c:pt>
                <c:pt idx="2">
                  <c:v>6.9619999999999987E-2</c:v>
                </c:pt>
                <c:pt idx="3">
                  <c:v>8.2151599999999991E-2</c:v>
                </c:pt>
                <c:pt idx="4">
                  <c:v>9.6938887999999973E-2</c:v>
                </c:pt>
                <c:pt idx="5">
                  <c:v>0.11438788783999997</c:v>
                </c:pt>
                <c:pt idx="6">
                  <c:v>0.13497770765119996</c:v>
                </c:pt>
                <c:pt idx="7">
                  <c:v>0.15927369502841596</c:v>
                </c:pt>
                <c:pt idx="8">
                  <c:v>0.18794296013353079</c:v>
                </c:pt>
                <c:pt idx="9">
                  <c:v>0.2217726929575663</c:v>
                </c:pt>
                <c:pt idx="10">
                  <c:v>0.25060314304204989</c:v>
                </c:pt>
                <c:pt idx="11">
                  <c:v>0.25060314304204989</c:v>
                </c:pt>
                <c:pt idx="12">
                  <c:v>0.25060314304204989</c:v>
                </c:pt>
                <c:pt idx="13">
                  <c:v>0.25060314304204989</c:v>
                </c:pt>
                <c:pt idx="14">
                  <c:v>0.25060314304204989</c:v>
                </c:pt>
                <c:pt idx="15">
                  <c:v>0.25060314304204989</c:v>
                </c:pt>
                <c:pt idx="16">
                  <c:v>0.25060314304204989</c:v>
                </c:pt>
                <c:pt idx="17">
                  <c:v>0.25060314304204989</c:v>
                </c:pt>
                <c:pt idx="18">
                  <c:v>0.25060314304204989</c:v>
                </c:pt>
                <c:pt idx="19">
                  <c:v>0.25060314304204989</c:v>
                </c:pt>
                <c:pt idx="20">
                  <c:v>0.25060314304204989</c:v>
                </c:pt>
                <c:pt idx="21">
                  <c:v>0.25060314304204989</c:v>
                </c:pt>
                <c:pt idx="22">
                  <c:v>0.25060314304204989</c:v>
                </c:pt>
                <c:pt idx="23">
                  <c:v>0.25060314304204989</c:v>
                </c:pt>
                <c:pt idx="24">
                  <c:v>0.25060314304204989</c:v>
                </c:pt>
                <c:pt idx="25">
                  <c:v>0.25060314304204989</c:v>
                </c:pt>
                <c:pt idx="26">
                  <c:v>0.25060314304204989</c:v>
                </c:pt>
                <c:pt idx="27">
                  <c:v>0.25060314304204989</c:v>
                </c:pt>
                <c:pt idx="28">
                  <c:v>0.25060314304204989</c:v>
                </c:pt>
                <c:pt idx="29">
                  <c:v>0.25060314304204989</c:v>
                </c:pt>
                <c:pt idx="30">
                  <c:v>0.25060314304204989</c:v>
                </c:pt>
                <c:pt idx="31">
                  <c:v>0.25060314304204989</c:v>
                </c:pt>
                <c:pt idx="32">
                  <c:v>0.25060314304204989</c:v>
                </c:pt>
                <c:pt idx="33">
                  <c:v>0.25060314304204989</c:v>
                </c:pt>
                <c:pt idx="34">
                  <c:v>0.25060314304204989</c:v>
                </c:pt>
                <c:pt idx="35">
                  <c:v>0.25060314304204989</c:v>
                </c:pt>
                <c:pt idx="36">
                  <c:v>0.25060314304204989</c:v>
                </c:pt>
                <c:pt idx="37">
                  <c:v>0.25060314304204989</c:v>
                </c:pt>
                <c:pt idx="38">
                  <c:v>0.25060314304204989</c:v>
                </c:pt>
                <c:pt idx="39">
                  <c:v>0.25060314304204989</c:v>
                </c:pt>
                <c:pt idx="40">
                  <c:v>0.25060314304204989</c:v>
                </c:pt>
                <c:pt idx="41">
                  <c:v>0.25060314304204989</c:v>
                </c:pt>
                <c:pt idx="42">
                  <c:v>0.25060314304204989</c:v>
                </c:pt>
                <c:pt idx="43">
                  <c:v>0.25060314304204989</c:v>
                </c:pt>
                <c:pt idx="44">
                  <c:v>0.25060314304204989</c:v>
                </c:pt>
                <c:pt idx="45">
                  <c:v>0.25060314304204989</c:v>
                </c:pt>
                <c:pt idx="46">
                  <c:v>0.25060314304204989</c:v>
                </c:pt>
                <c:pt idx="47">
                  <c:v>0.25060314304204989</c:v>
                </c:pt>
                <c:pt idx="48">
                  <c:v>0.25060314304204989</c:v>
                </c:pt>
                <c:pt idx="49">
                  <c:v>0.25060314304204989</c:v>
                </c:pt>
                <c:pt idx="50">
                  <c:v>0.25060314304204989</c:v>
                </c:pt>
                <c:pt idx="51">
                  <c:v>0.25060314304204989</c:v>
                </c:pt>
                <c:pt idx="52">
                  <c:v>0.25060314304204989</c:v>
                </c:pt>
                <c:pt idx="53">
                  <c:v>0.25060314304204989</c:v>
                </c:pt>
                <c:pt idx="54">
                  <c:v>0.25060314304204989</c:v>
                </c:pt>
                <c:pt idx="55">
                  <c:v>0.25060314304204989</c:v>
                </c:pt>
                <c:pt idx="56">
                  <c:v>0.25060314304204989</c:v>
                </c:pt>
                <c:pt idx="57">
                  <c:v>0.25060314304204989</c:v>
                </c:pt>
                <c:pt idx="58">
                  <c:v>0.25060314304204989</c:v>
                </c:pt>
                <c:pt idx="59">
                  <c:v>0.25060314304204989</c:v>
                </c:pt>
                <c:pt idx="60">
                  <c:v>0.25060314304204989</c:v>
                </c:pt>
                <c:pt idx="61">
                  <c:v>0.25060314304204989</c:v>
                </c:pt>
                <c:pt idx="62">
                  <c:v>0.25060314304204989</c:v>
                </c:pt>
                <c:pt idx="63">
                  <c:v>0.25060314304204989</c:v>
                </c:pt>
                <c:pt idx="64">
                  <c:v>0.25060314304204989</c:v>
                </c:pt>
                <c:pt idx="65">
                  <c:v>0.25060314304204989</c:v>
                </c:pt>
                <c:pt idx="66">
                  <c:v>0.25060314304204989</c:v>
                </c:pt>
                <c:pt idx="67">
                  <c:v>0.25060314304204989</c:v>
                </c:pt>
                <c:pt idx="68">
                  <c:v>0.25060314304204989</c:v>
                </c:pt>
                <c:pt idx="69">
                  <c:v>0.25060314304204989</c:v>
                </c:pt>
                <c:pt idx="70">
                  <c:v>0.25060314304204989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F8-5341-837E-AAEE58CAC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574096"/>
        <c:axId val="1114575808"/>
      </c:lineChart>
      <c:catAx>
        <c:axId val="111457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4575808"/>
        <c:crosses val="autoZero"/>
        <c:auto val="1"/>
        <c:lblAlgn val="ctr"/>
        <c:lblOffset val="100"/>
        <c:noMultiLvlLbl val="0"/>
      </c:catAx>
      <c:valAx>
        <c:axId val="11145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GCS in Gigatons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45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Cumulative Storage (Gt)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Sheet1!$A$2:$A$72</c:f>
              <c:numCache>
                <c:formatCode>General</c:formatCode>
                <c:ptCount val="7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  <c:pt idx="21">
                  <c:v>2051</c:v>
                </c:pt>
                <c:pt idx="22">
                  <c:v>2052</c:v>
                </c:pt>
                <c:pt idx="23">
                  <c:v>2053</c:v>
                </c:pt>
                <c:pt idx="24">
                  <c:v>2054</c:v>
                </c:pt>
                <c:pt idx="25">
                  <c:v>2055</c:v>
                </c:pt>
                <c:pt idx="26">
                  <c:v>2056</c:v>
                </c:pt>
                <c:pt idx="27">
                  <c:v>2057</c:v>
                </c:pt>
                <c:pt idx="28">
                  <c:v>2058</c:v>
                </c:pt>
                <c:pt idx="29">
                  <c:v>2059</c:v>
                </c:pt>
                <c:pt idx="30">
                  <c:v>2060</c:v>
                </c:pt>
                <c:pt idx="31">
                  <c:v>2061</c:v>
                </c:pt>
                <c:pt idx="32">
                  <c:v>2062</c:v>
                </c:pt>
                <c:pt idx="33">
                  <c:v>2063</c:v>
                </c:pt>
                <c:pt idx="34">
                  <c:v>2064</c:v>
                </c:pt>
                <c:pt idx="35">
                  <c:v>2065</c:v>
                </c:pt>
                <c:pt idx="36">
                  <c:v>2066</c:v>
                </c:pt>
                <c:pt idx="37">
                  <c:v>2067</c:v>
                </c:pt>
                <c:pt idx="38">
                  <c:v>2068</c:v>
                </c:pt>
                <c:pt idx="39">
                  <c:v>2069</c:v>
                </c:pt>
                <c:pt idx="40">
                  <c:v>2070</c:v>
                </c:pt>
                <c:pt idx="41">
                  <c:v>2071</c:v>
                </c:pt>
                <c:pt idx="42">
                  <c:v>2072</c:v>
                </c:pt>
                <c:pt idx="43">
                  <c:v>2073</c:v>
                </c:pt>
                <c:pt idx="44">
                  <c:v>2074</c:v>
                </c:pt>
                <c:pt idx="45">
                  <c:v>2075</c:v>
                </c:pt>
                <c:pt idx="46">
                  <c:v>2076</c:v>
                </c:pt>
                <c:pt idx="47">
                  <c:v>2077</c:v>
                </c:pt>
                <c:pt idx="48">
                  <c:v>2078</c:v>
                </c:pt>
                <c:pt idx="49">
                  <c:v>2079</c:v>
                </c:pt>
                <c:pt idx="50">
                  <c:v>2080</c:v>
                </c:pt>
                <c:pt idx="51">
                  <c:v>2081</c:v>
                </c:pt>
                <c:pt idx="52">
                  <c:v>2082</c:v>
                </c:pt>
                <c:pt idx="53">
                  <c:v>2083</c:v>
                </c:pt>
                <c:pt idx="54">
                  <c:v>2084</c:v>
                </c:pt>
                <c:pt idx="55">
                  <c:v>2085</c:v>
                </c:pt>
                <c:pt idx="56">
                  <c:v>2086</c:v>
                </c:pt>
                <c:pt idx="57">
                  <c:v>2087</c:v>
                </c:pt>
                <c:pt idx="58">
                  <c:v>2088</c:v>
                </c:pt>
                <c:pt idx="59">
                  <c:v>2089</c:v>
                </c:pt>
                <c:pt idx="60">
                  <c:v>2090</c:v>
                </c:pt>
                <c:pt idx="61">
                  <c:v>2091</c:v>
                </c:pt>
                <c:pt idx="62">
                  <c:v>2092</c:v>
                </c:pt>
                <c:pt idx="63">
                  <c:v>2093</c:v>
                </c:pt>
                <c:pt idx="64">
                  <c:v>2094</c:v>
                </c:pt>
                <c:pt idx="65">
                  <c:v>2095</c:v>
                </c:pt>
                <c:pt idx="66">
                  <c:v>2096</c:v>
                </c:pt>
                <c:pt idx="67">
                  <c:v>2097</c:v>
                </c:pt>
                <c:pt idx="68">
                  <c:v>2098</c:v>
                </c:pt>
                <c:pt idx="69">
                  <c:v>2099</c:v>
                </c:pt>
                <c:pt idx="70">
                  <c:v>2100</c:v>
                </c:pt>
              </c:numCache>
            </c:numRef>
          </c:cat>
          <c:val>
            <c:numRef>
              <c:f>Sheet1!$B$2:$B$72</c:f>
              <c:numCache>
                <c:formatCode>General</c:formatCode>
                <c:ptCount val="71"/>
                <c:pt idx="0">
                  <c:v>0.05</c:v>
                </c:pt>
                <c:pt idx="1">
                  <c:v>0.10873000000000001</c:v>
                </c:pt>
                <c:pt idx="2">
                  <c:v>0.17771425800000004</c:v>
                </c:pt>
                <c:pt idx="3">
                  <c:v>0.25874316744680004</c:v>
                </c:pt>
                <c:pt idx="4">
                  <c:v>0.35391972448301134</c:v>
                </c:pt>
                <c:pt idx="5">
                  <c:v>0.46571410837774518</c:v>
                </c:pt>
                <c:pt idx="6">
                  <c:v>0.59702779170049947</c:v>
                </c:pt>
                <c:pt idx="7">
                  <c:v>0.75126884413140682</c:v>
                </c:pt>
                <c:pt idx="8">
                  <c:v>0.93244038431675047</c:v>
                </c:pt>
                <c:pt idx="9">
                  <c:v>1.1452444754184552</c:v>
                </c:pt>
                <c:pt idx="10">
                  <c:v>1.3952041608265175</c:v>
                </c:pt>
                <c:pt idx="11">
                  <c:v>1.6888068073068276</c:v>
                </c:pt>
                <c:pt idx="12">
                  <c:v>2.0336724758626001</c:v>
                </c:pt>
                <c:pt idx="13">
                  <c:v>2.4387516901482105</c:v>
                </c:pt>
                <c:pt idx="14">
                  <c:v>2.914557735248088</c:v>
                </c:pt>
                <c:pt idx="15">
                  <c:v>3.4734395158224047</c:v>
                </c:pt>
                <c:pt idx="16">
                  <c:v>4.1299020552849974</c:v>
                </c:pt>
                <c:pt idx="17">
                  <c:v>4.9009829541377572</c:v>
                </c:pt>
                <c:pt idx="18">
                  <c:v>5.8066945779302106</c:v>
                </c:pt>
                <c:pt idx="19">
                  <c:v>6.8705434512368253</c:v>
                </c:pt>
                <c:pt idx="20">
                  <c:v>7.9343923245434409</c:v>
                </c:pt>
                <c:pt idx="21">
                  <c:v>8.9982411978500565</c:v>
                </c:pt>
                <c:pt idx="22">
                  <c:v>10.062090071156671</c:v>
                </c:pt>
                <c:pt idx="23">
                  <c:v>11.125938944463288</c:v>
                </c:pt>
                <c:pt idx="24">
                  <c:v>12.189787817769902</c:v>
                </c:pt>
                <c:pt idx="25">
                  <c:v>13.253636691076517</c:v>
                </c:pt>
                <c:pt idx="26">
                  <c:v>14.317485564383132</c:v>
                </c:pt>
                <c:pt idx="27">
                  <c:v>15.381334437689748</c:v>
                </c:pt>
                <c:pt idx="28">
                  <c:v>16.445183310996363</c:v>
                </c:pt>
                <c:pt idx="29">
                  <c:v>17.509032184302978</c:v>
                </c:pt>
                <c:pt idx="30">
                  <c:v>18.572881057609592</c:v>
                </c:pt>
                <c:pt idx="31">
                  <c:v>19.636729930916207</c:v>
                </c:pt>
                <c:pt idx="32">
                  <c:v>20.700578804222822</c:v>
                </c:pt>
                <c:pt idx="33">
                  <c:v>21.76442767752944</c:v>
                </c:pt>
                <c:pt idx="34">
                  <c:v>22.828276550836055</c:v>
                </c:pt>
                <c:pt idx="35">
                  <c:v>23.892125424142669</c:v>
                </c:pt>
                <c:pt idx="36">
                  <c:v>24.955974297449284</c:v>
                </c:pt>
                <c:pt idx="37">
                  <c:v>26.019823170755899</c:v>
                </c:pt>
                <c:pt idx="38">
                  <c:v>27.083672044062514</c:v>
                </c:pt>
                <c:pt idx="39">
                  <c:v>28.147520917369128</c:v>
                </c:pt>
                <c:pt idx="40">
                  <c:v>29.211369790675743</c:v>
                </c:pt>
                <c:pt idx="41">
                  <c:v>30.275218663982358</c:v>
                </c:pt>
                <c:pt idx="42">
                  <c:v>31.33906753728898</c:v>
                </c:pt>
                <c:pt idx="43">
                  <c:v>32.402916410595594</c:v>
                </c:pt>
                <c:pt idx="44">
                  <c:v>33.46676528390222</c:v>
                </c:pt>
                <c:pt idx="45">
                  <c:v>34.530614157208838</c:v>
                </c:pt>
                <c:pt idx="46">
                  <c:v>35.594463030515456</c:v>
                </c:pt>
                <c:pt idx="47">
                  <c:v>36.658311903822074</c:v>
                </c:pt>
                <c:pt idx="48">
                  <c:v>37.722160777128693</c:v>
                </c:pt>
                <c:pt idx="49">
                  <c:v>38.786009650435311</c:v>
                </c:pt>
                <c:pt idx="50">
                  <c:v>39.849858523741929</c:v>
                </c:pt>
                <c:pt idx="51">
                  <c:v>40.913707397048547</c:v>
                </c:pt>
                <c:pt idx="52">
                  <c:v>41.977556270355173</c:v>
                </c:pt>
                <c:pt idx="53">
                  <c:v>43.041405143661791</c:v>
                </c:pt>
                <c:pt idx="54">
                  <c:v>44.105254016968409</c:v>
                </c:pt>
                <c:pt idx="55">
                  <c:v>45.169102890275028</c:v>
                </c:pt>
                <c:pt idx="56">
                  <c:v>46.232951763581646</c:v>
                </c:pt>
                <c:pt idx="57">
                  <c:v>47.296800636888264</c:v>
                </c:pt>
                <c:pt idx="58">
                  <c:v>48.360649510194882</c:v>
                </c:pt>
                <c:pt idx="59">
                  <c:v>49.424498383501501</c:v>
                </c:pt>
                <c:pt idx="60">
                  <c:v>50.488347256808119</c:v>
                </c:pt>
                <c:pt idx="61">
                  <c:v>51.552196130114737</c:v>
                </c:pt>
                <c:pt idx="62">
                  <c:v>52.616045003421355</c:v>
                </c:pt>
                <c:pt idx="63">
                  <c:v>53.679893876727974</c:v>
                </c:pt>
                <c:pt idx="64">
                  <c:v>54.743742750034592</c:v>
                </c:pt>
                <c:pt idx="65">
                  <c:v>55.80759162334121</c:v>
                </c:pt>
                <c:pt idx="66">
                  <c:v>56.871440496647836</c:v>
                </c:pt>
                <c:pt idx="67">
                  <c:v>57.935289369954454</c:v>
                </c:pt>
                <c:pt idx="68">
                  <c:v>58.999138243261072</c:v>
                </c:pt>
                <c:pt idx="69">
                  <c:v>60.06298711656769</c:v>
                </c:pt>
                <c:pt idx="70">
                  <c:v>61.126835989874309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A-0649-99C6-E59673ECC08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Injection Rate Per Annum (Gt)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Sheet1!$A$2:$A$72</c:f>
              <c:numCache>
                <c:formatCode>General</c:formatCode>
                <c:ptCount val="7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  <c:pt idx="21">
                  <c:v>2051</c:v>
                </c:pt>
                <c:pt idx="22">
                  <c:v>2052</c:v>
                </c:pt>
                <c:pt idx="23">
                  <c:v>2053</c:v>
                </c:pt>
                <c:pt idx="24">
                  <c:v>2054</c:v>
                </c:pt>
                <c:pt idx="25">
                  <c:v>2055</c:v>
                </c:pt>
                <c:pt idx="26">
                  <c:v>2056</c:v>
                </c:pt>
                <c:pt idx="27">
                  <c:v>2057</c:v>
                </c:pt>
                <c:pt idx="28">
                  <c:v>2058</c:v>
                </c:pt>
                <c:pt idx="29">
                  <c:v>2059</c:v>
                </c:pt>
                <c:pt idx="30">
                  <c:v>2060</c:v>
                </c:pt>
                <c:pt idx="31">
                  <c:v>2061</c:v>
                </c:pt>
                <c:pt idx="32">
                  <c:v>2062</c:v>
                </c:pt>
                <c:pt idx="33">
                  <c:v>2063</c:v>
                </c:pt>
                <c:pt idx="34">
                  <c:v>2064</c:v>
                </c:pt>
                <c:pt idx="35">
                  <c:v>2065</c:v>
                </c:pt>
                <c:pt idx="36">
                  <c:v>2066</c:v>
                </c:pt>
                <c:pt idx="37">
                  <c:v>2067</c:v>
                </c:pt>
                <c:pt idx="38">
                  <c:v>2068</c:v>
                </c:pt>
                <c:pt idx="39">
                  <c:v>2069</c:v>
                </c:pt>
                <c:pt idx="40">
                  <c:v>2070</c:v>
                </c:pt>
                <c:pt idx="41">
                  <c:v>2071</c:v>
                </c:pt>
                <c:pt idx="42">
                  <c:v>2072</c:v>
                </c:pt>
                <c:pt idx="43">
                  <c:v>2073</c:v>
                </c:pt>
                <c:pt idx="44">
                  <c:v>2074</c:v>
                </c:pt>
                <c:pt idx="45">
                  <c:v>2075</c:v>
                </c:pt>
                <c:pt idx="46">
                  <c:v>2076</c:v>
                </c:pt>
                <c:pt idx="47">
                  <c:v>2077</c:v>
                </c:pt>
                <c:pt idx="48">
                  <c:v>2078</c:v>
                </c:pt>
                <c:pt idx="49">
                  <c:v>2079</c:v>
                </c:pt>
                <c:pt idx="50">
                  <c:v>2080</c:v>
                </c:pt>
                <c:pt idx="51">
                  <c:v>2081</c:v>
                </c:pt>
                <c:pt idx="52">
                  <c:v>2082</c:v>
                </c:pt>
                <c:pt idx="53">
                  <c:v>2083</c:v>
                </c:pt>
                <c:pt idx="54">
                  <c:v>2084</c:v>
                </c:pt>
                <c:pt idx="55">
                  <c:v>2085</c:v>
                </c:pt>
                <c:pt idx="56">
                  <c:v>2086</c:v>
                </c:pt>
                <c:pt idx="57">
                  <c:v>2087</c:v>
                </c:pt>
                <c:pt idx="58">
                  <c:v>2088</c:v>
                </c:pt>
                <c:pt idx="59">
                  <c:v>2089</c:v>
                </c:pt>
                <c:pt idx="60">
                  <c:v>2090</c:v>
                </c:pt>
                <c:pt idx="61">
                  <c:v>2091</c:v>
                </c:pt>
                <c:pt idx="62">
                  <c:v>2092</c:v>
                </c:pt>
                <c:pt idx="63">
                  <c:v>2093</c:v>
                </c:pt>
                <c:pt idx="64">
                  <c:v>2094</c:v>
                </c:pt>
                <c:pt idx="65">
                  <c:v>2095</c:v>
                </c:pt>
                <c:pt idx="66">
                  <c:v>2096</c:v>
                </c:pt>
                <c:pt idx="67">
                  <c:v>2097</c:v>
                </c:pt>
                <c:pt idx="68">
                  <c:v>2098</c:v>
                </c:pt>
                <c:pt idx="69">
                  <c:v>2099</c:v>
                </c:pt>
                <c:pt idx="70">
                  <c:v>2100</c:v>
                </c:pt>
              </c:numCache>
            </c:numRef>
          </c:cat>
          <c:val>
            <c:numRef>
              <c:f>Sheet1!$C$2:$C$72</c:f>
              <c:numCache>
                <c:formatCode>General</c:formatCode>
                <c:ptCount val="71"/>
                <c:pt idx="0">
                  <c:v>0.05</c:v>
                </c:pt>
                <c:pt idx="1">
                  <c:v>5.8730000000000004E-2</c:v>
                </c:pt>
                <c:pt idx="2">
                  <c:v>6.8984258000000007E-2</c:v>
                </c:pt>
                <c:pt idx="3">
                  <c:v>8.102890944680001E-2</c:v>
                </c:pt>
                <c:pt idx="4">
                  <c:v>9.5176557036211307E-2</c:v>
                </c:pt>
                <c:pt idx="5">
                  <c:v>0.11179438389473381</c:v>
                </c:pt>
                <c:pt idx="6">
                  <c:v>0.13131368332275434</c:v>
                </c:pt>
                <c:pt idx="7">
                  <c:v>0.15424105243090727</c:v>
                </c:pt>
                <c:pt idx="8">
                  <c:v>0.1811715401853437</c:v>
                </c:pt>
                <c:pt idx="9">
                  <c:v>0.21280409110170473</c:v>
                </c:pt>
                <c:pt idx="10">
                  <c:v>0.2499596854080624</c:v>
                </c:pt>
                <c:pt idx="11">
                  <c:v>0.29360264648031009</c:v>
                </c:pt>
                <c:pt idx="12">
                  <c:v>0.34486566855577228</c:v>
                </c:pt>
                <c:pt idx="13">
                  <c:v>0.40507921428561011</c:v>
                </c:pt>
                <c:pt idx="14">
                  <c:v>0.47580604509987767</c:v>
                </c:pt>
                <c:pt idx="15">
                  <c:v>0.55888178057431637</c:v>
                </c:pt>
                <c:pt idx="16">
                  <c:v>0.65646253946259203</c:v>
                </c:pt>
                <c:pt idx="17">
                  <c:v>0.77108089885276065</c:v>
                </c:pt>
                <c:pt idx="18">
                  <c:v>0.90571162379245274</c:v>
                </c:pt>
                <c:pt idx="19">
                  <c:v>1.0638488733066152</c:v>
                </c:pt>
                <c:pt idx="20">
                  <c:v>1.0638488733066152</c:v>
                </c:pt>
                <c:pt idx="21">
                  <c:v>1.0638488733066152</c:v>
                </c:pt>
                <c:pt idx="22">
                  <c:v>1.0638488733066152</c:v>
                </c:pt>
                <c:pt idx="23">
                  <c:v>1.0638488733066152</c:v>
                </c:pt>
                <c:pt idx="24">
                  <c:v>1.0638488733066152</c:v>
                </c:pt>
                <c:pt idx="25">
                  <c:v>1.0638488733066152</c:v>
                </c:pt>
                <c:pt idx="26">
                  <c:v>1.0638488733066152</c:v>
                </c:pt>
                <c:pt idx="27">
                  <c:v>1.0638488733066152</c:v>
                </c:pt>
                <c:pt idx="28">
                  <c:v>1.0638488733066152</c:v>
                </c:pt>
                <c:pt idx="29">
                  <c:v>1.0638488733066152</c:v>
                </c:pt>
                <c:pt idx="30">
                  <c:v>1.0638488733066152</c:v>
                </c:pt>
                <c:pt idx="31">
                  <c:v>1.0638488733066152</c:v>
                </c:pt>
                <c:pt idx="32">
                  <c:v>1.0638488733066152</c:v>
                </c:pt>
                <c:pt idx="33">
                  <c:v>1.0638488733066152</c:v>
                </c:pt>
                <c:pt idx="34">
                  <c:v>1.0638488733066152</c:v>
                </c:pt>
                <c:pt idx="35">
                  <c:v>1.0638488733066152</c:v>
                </c:pt>
                <c:pt idx="36">
                  <c:v>1.0638488733066152</c:v>
                </c:pt>
                <c:pt idx="37">
                  <c:v>1.0638488733066152</c:v>
                </c:pt>
                <c:pt idx="38">
                  <c:v>1.0638488733066152</c:v>
                </c:pt>
                <c:pt idx="39">
                  <c:v>1.0638488733066152</c:v>
                </c:pt>
                <c:pt idx="40">
                  <c:v>1.0638488733066152</c:v>
                </c:pt>
                <c:pt idx="41">
                  <c:v>1.0638488733066152</c:v>
                </c:pt>
                <c:pt idx="42">
                  <c:v>1.0638488733066198</c:v>
                </c:pt>
                <c:pt idx="43">
                  <c:v>1.0638488733066198</c:v>
                </c:pt>
                <c:pt idx="44">
                  <c:v>1.0638488733066198</c:v>
                </c:pt>
                <c:pt idx="45">
                  <c:v>1.0638488733066198</c:v>
                </c:pt>
                <c:pt idx="46">
                  <c:v>1.0638488733066198</c:v>
                </c:pt>
                <c:pt idx="47">
                  <c:v>1.0638488733066198</c:v>
                </c:pt>
                <c:pt idx="48">
                  <c:v>1.0638488733066198</c:v>
                </c:pt>
                <c:pt idx="49">
                  <c:v>1.0638488733066198</c:v>
                </c:pt>
                <c:pt idx="50">
                  <c:v>1.0638488733066198</c:v>
                </c:pt>
                <c:pt idx="51">
                  <c:v>1.0638488733066198</c:v>
                </c:pt>
                <c:pt idx="52">
                  <c:v>1.0638488733066198</c:v>
                </c:pt>
                <c:pt idx="53">
                  <c:v>1.0638488733066198</c:v>
                </c:pt>
                <c:pt idx="54">
                  <c:v>1.0638488733066198</c:v>
                </c:pt>
                <c:pt idx="55">
                  <c:v>1.0638488733066198</c:v>
                </c:pt>
                <c:pt idx="56">
                  <c:v>1.0638488733066198</c:v>
                </c:pt>
                <c:pt idx="57">
                  <c:v>1.0638488733066198</c:v>
                </c:pt>
                <c:pt idx="58">
                  <c:v>1.0638488733066198</c:v>
                </c:pt>
                <c:pt idx="59">
                  <c:v>1.0638488733066198</c:v>
                </c:pt>
                <c:pt idx="60">
                  <c:v>1.0638488733066198</c:v>
                </c:pt>
                <c:pt idx="61">
                  <c:v>1.0638488733066198</c:v>
                </c:pt>
                <c:pt idx="62">
                  <c:v>1.0638488733066198</c:v>
                </c:pt>
                <c:pt idx="63">
                  <c:v>1.0638488733066198</c:v>
                </c:pt>
                <c:pt idx="64">
                  <c:v>1.0638488733066198</c:v>
                </c:pt>
                <c:pt idx="65">
                  <c:v>1.0638488733066198</c:v>
                </c:pt>
                <c:pt idx="66">
                  <c:v>1.0638488733066198</c:v>
                </c:pt>
                <c:pt idx="67">
                  <c:v>1.0638488733066198</c:v>
                </c:pt>
                <c:pt idx="68">
                  <c:v>1.0638488733066198</c:v>
                </c:pt>
                <c:pt idx="69">
                  <c:v>1.0638488733066198</c:v>
                </c:pt>
                <c:pt idx="70">
                  <c:v>1.0638488733066198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A-0649-99C6-E59673ECC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6624"/>
        <c:axId val="15482912"/>
      </c:lineChart>
      <c:catAx>
        <c:axId val="1549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482912"/>
        <c:crosses val="autoZero"/>
        <c:auto val="1"/>
        <c:lblAlgn val="ctr"/>
        <c:lblOffset val="100"/>
        <c:noMultiLvlLbl val="0"/>
      </c:catAx>
      <c:valAx>
        <c:axId val="154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49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11</xdr:row>
      <xdr:rowOff>57150</xdr:rowOff>
    </xdr:from>
    <xdr:to>
      <xdr:col>16</xdr:col>
      <xdr:colOff>596900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32021-1FE5-60C0-6083-8EA474D9F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10</xdr:row>
      <xdr:rowOff>12700</xdr:rowOff>
    </xdr:from>
    <xdr:to>
      <xdr:col>15</xdr:col>
      <xdr:colOff>342900</xdr:colOff>
      <xdr:row>35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65FC9-F273-1DCE-E3C7-11A23CAA5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3</xdr:row>
      <xdr:rowOff>165100</xdr:rowOff>
    </xdr:from>
    <xdr:to>
      <xdr:col>14</xdr:col>
      <xdr:colOff>330200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C47ED-2AE3-6439-5D2B-3BDC43FBA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Gransee" refreshedDate="46044.495876157409" createdVersion="8" refreshedVersion="8" minRefreshableVersion="3" recordCount="29" xr:uid="{95DFEF2D-E379-0D4C-8B17-F36977641FD9}">
  <cacheSource type="worksheet">
    <worksheetSource name="Table1"/>
  </cacheSource>
  <cacheFields count="3">
    <cacheField name="Code" numFmtId="2">
      <sharedItems count="29">
        <s v="AUT"/>
        <s v="BEL"/>
        <s v="BGR"/>
        <s v="HRV"/>
        <s v="CYP"/>
        <s v="CZE"/>
        <s v="DNK"/>
        <s v="EST"/>
        <s v="FIN"/>
        <s v="FRA"/>
        <s v="DEU"/>
        <s v="GRC"/>
        <s v="HUN"/>
        <s v="IRL"/>
        <s v="ITA"/>
        <s v="LVA"/>
        <s v="LTU"/>
        <s v="LUX"/>
        <s v="MLT"/>
        <s v="NLD"/>
        <s v="NOR"/>
        <s v="POL"/>
        <s v="PRT"/>
        <s v="ROU"/>
        <s v="SVK"/>
        <s v="SVN"/>
        <s v="ESP"/>
        <s v="SWE"/>
        <s v="GBR"/>
      </sharedItems>
    </cacheField>
    <cacheField name="Country" numFmtId="2">
      <sharedItems/>
    </cacheField>
    <cacheField name="Potential Storage (Gt)" numFmtId="2">
      <sharedItems containsSemiMixedTypes="0" containsString="0" containsNumber="1" minValue="0" maxValue="8.901729742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Gransee" refreshedDate="46045.462240393521" createdVersion="8" refreshedVersion="8" minRefreshableVersion="3" recordCount="71" xr:uid="{6528FC06-1690-AB4E-BDFC-5CFA8EFEE524}">
  <cacheSource type="worksheet">
    <worksheetSource name="Table3"/>
  </cacheSource>
  <cacheFields count="5">
    <cacheField name="Year" numFmtId="0">
      <sharedItems containsSemiMixedTypes="0" containsString="0" containsNumber="1" containsInteger="1" minValue="2030" maxValue="2100" count="71"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</sharedItems>
    </cacheField>
    <cacheField name="Injection Rate" numFmtId="0">
      <sharedItems containsSemiMixedTypes="0" containsString="0" containsNumber="1" minValue="50" maxValue="250.60314304204991"/>
    </cacheField>
    <cacheField name="Cummulative" numFmtId="0">
      <sharedItems containsSemiMixedTypes="0" containsString="0" containsNumber="1" minValue="50" maxValue="16462.857157175757"/>
    </cacheField>
    <cacheField name="Cumulative Storage (Gt)" numFmtId="0">
      <sharedItems containsSemiMixedTypes="0" containsString="0" containsNumber="1" minValue="0.05" maxValue="16.462857157175758" count="71">
        <n v="0.05"/>
        <n v="0.109"/>
        <n v="0.17862"/>
        <n v="0.26077159999999999"/>
        <n v="0.35771048799999994"/>
        <n v="0.47209837583999992"/>
        <n v="0.60707608349119979"/>
        <n v="0.76634977851961572"/>
        <n v="0.95429273865314646"/>
        <n v="1.1760654316107126"/>
        <n v="1.4266685746527625"/>
        <n v="1.6772717176948124"/>
        <n v="1.9278748607368623"/>
        <n v="2.1784780037789124"/>
        <n v="2.4290811468209621"/>
        <n v="2.6796842898630122"/>
        <n v="2.9302874329050619"/>
        <n v="3.1808905759471116"/>
        <n v="3.4314937189891617"/>
        <n v="3.6820968620312113"/>
        <n v="3.9327000050732615"/>
        <n v="4.1833031481153116"/>
        <n v="4.4339062911573608"/>
        <n v="4.6845094341994109"/>
        <n v="4.935112577241461"/>
        <n v="5.1857157202835102"/>
        <n v="5.4363188633255604"/>
        <n v="5.6869220063676105"/>
        <n v="5.9375251494096597"/>
        <n v="6.1881282924517098"/>
        <n v="6.4387314354937599"/>
        <n v="6.68933457853581"/>
        <n v="6.9399377215778593"/>
        <n v="7.1905408646199094"/>
        <n v="7.4411440076619595"/>
        <n v="7.6917471507040087"/>
        <n v="7.9423502937460588"/>
        <n v="8.1929534367881089"/>
        <n v="8.4435565798301599"/>
        <n v="8.6941597228722092"/>
        <n v="8.9447628659142584"/>
        <n v="9.1953660089563094"/>
        <n v="9.4459691519983586"/>
        <n v="9.6965722950404096"/>
        <n v="9.9471754380824589"/>
        <n v="10.197778581124508"/>
        <n v="10.448381724166559"/>
        <n v="10.698984867208608"/>
        <n v="10.949588010250658"/>
        <n v="11.200191153292709"/>
        <n v="11.450794296334758"/>
        <n v="11.701397439376807"/>
        <n v="11.952000582418858"/>
        <n v="12.202603725460907"/>
        <n v="12.453206868502956"/>
        <n v="12.703810011545007"/>
        <n v="12.954413154587057"/>
        <n v="13.205016297629106"/>
        <n v="13.455619440671157"/>
        <n v="13.706222583713206"/>
        <n v="13.956825726755257"/>
        <n v="14.207428869797306"/>
        <n v="14.458032012839356"/>
        <n v="14.708635155881407"/>
        <n v="14.959238298923456"/>
        <n v="15.209841441965505"/>
        <n v="15.460444585007556"/>
        <n v="15.711047728049605"/>
        <n v="15.961650871091654"/>
        <n v="16.212254014133705"/>
        <n v="16.462857157175758"/>
      </sharedItems>
    </cacheField>
    <cacheField name="Injection Rate Per Annum (Gt)" numFmtId="0">
      <sharedItems containsSemiMixedTypes="0" containsString="0" containsNumber="1" minValue="0.05" maxValue="0.25060314304204989" count="11">
        <n v="0.05"/>
        <n v="5.8999999999999997E-2"/>
        <n v="6.9619999999999987E-2"/>
        <n v="8.2151599999999991E-2"/>
        <n v="9.6938887999999973E-2"/>
        <n v="0.11438788783999997"/>
        <n v="0.13497770765119996"/>
        <n v="0.15927369502841596"/>
        <n v="0.18794296013353079"/>
        <n v="0.2217726929575663"/>
        <n v="0.250603143042049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Austria"/>
    <n v="1.13E-5"/>
  </r>
  <r>
    <x v="1"/>
    <s v="Belgium"/>
    <n v="0"/>
  </r>
  <r>
    <x v="2"/>
    <s v="Bulgaria"/>
    <n v="0.57342807799999995"/>
  </r>
  <r>
    <x v="3"/>
    <s v="Croatia"/>
    <n v="1.308291906"/>
  </r>
  <r>
    <x v="4"/>
    <s v="Cyprus"/>
    <n v="2.3345825000000001E-2"/>
  </r>
  <r>
    <x v="5"/>
    <s v="Czechia"/>
    <n v="0"/>
  </r>
  <r>
    <x v="6"/>
    <s v="Denmark"/>
    <n v="4.6686674740000003"/>
  </r>
  <r>
    <x v="7"/>
    <s v="Estonia"/>
    <n v="3.7213110000000001E-3"/>
  </r>
  <r>
    <x v="8"/>
    <s v="Finland"/>
    <n v="0"/>
  </r>
  <r>
    <x v="9"/>
    <s v="France"/>
    <n v="3.6033377170000001"/>
  </r>
  <r>
    <x v="10"/>
    <s v="Germany"/>
    <n v="1.2606488659999999"/>
  </r>
  <r>
    <x v="11"/>
    <s v="Greece"/>
    <n v="1.600197353"/>
  </r>
  <r>
    <x v="12"/>
    <s v="Hungary"/>
    <n v="2.1748263E-2"/>
  </r>
  <r>
    <x v="13"/>
    <s v="Ireland"/>
    <n v="3.062954408"/>
  </r>
  <r>
    <x v="14"/>
    <s v="Italy"/>
    <n v="1.9837426360000001"/>
  </r>
  <r>
    <x v="15"/>
    <s v="Latvia"/>
    <n v="0.39869689600000002"/>
  </r>
  <r>
    <x v="16"/>
    <s v="Lithuania"/>
    <n v="0.42391875600000001"/>
  </r>
  <r>
    <x v="17"/>
    <s v="Luxembourg"/>
    <n v="0"/>
  </r>
  <r>
    <x v="18"/>
    <s v="Malta"/>
    <n v="0.58415423399999999"/>
  </r>
  <r>
    <x v="19"/>
    <s v="Netherlands"/>
    <n v="1.8310086879999998"/>
  </r>
  <r>
    <x v="20"/>
    <s v="Norway"/>
    <n v="6.9474020039999997"/>
  </r>
  <r>
    <x v="21"/>
    <s v="Poland"/>
    <n v="1.9161548879999999"/>
  </r>
  <r>
    <x v="22"/>
    <s v="Portugal"/>
    <n v="0.40063056999999996"/>
  </r>
  <r>
    <x v="23"/>
    <s v="Romania"/>
    <n v="0.88219997699999997"/>
  </r>
  <r>
    <x v="24"/>
    <s v="Slovakia"/>
    <n v="6.7000000000000002E-5"/>
  </r>
  <r>
    <x v="25"/>
    <s v="Slovenia"/>
    <n v="0"/>
  </r>
  <r>
    <x v="26"/>
    <s v="Spain"/>
    <n v="1.8791301039999999"/>
  </r>
  <r>
    <x v="27"/>
    <s v="Sweden"/>
    <n v="0.247208761"/>
  </r>
  <r>
    <x v="28"/>
    <s v="United Kingdom of Great Britain and Northern Ireland"/>
    <n v="8.90172974200000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50"/>
    <n v="50"/>
    <x v="0"/>
    <x v="0"/>
  </r>
  <r>
    <x v="1"/>
    <n v="59"/>
    <n v="109"/>
    <x v="1"/>
    <x v="1"/>
  </r>
  <r>
    <x v="2"/>
    <n v="69.61999999999999"/>
    <n v="178.62"/>
    <x v="2"/>
    <x v="2"/>
  </r>
  <r>
    <x v="3"/>
    <n v="82.151599999999988"/>
    <n v="260.77159999999998"/>
    <x v="3"/>
    <x v="3"/>
  </r>
  <r>
    <x v="4"/>
    <n v="96.938887999999977"/>
    <n v="357.71048799999994"/>
    <x v="4"/>
    <x v="4"/>
  </r>
  <r>
    <x v="5"/>
    <n v="114.38788783999996"/>
    <n v="472.0983758399999"/>
    <x v="5"/>
    <x v="5"/>
  </r>
  <r>
    <x v="6"/>
    <n v="134.97770765119995"/>
    <n v="607.07608349119982"/>
    <x v="6"/>
    <x v="6"/>
  </r>
  <r>
    <x v="7"/>
    <n v="159.27369502841594"/>
    <n v="766.34977851961571"/>
    <x v="7"/>
    <x v="7"/>
  </r>
  <r>
    <x v="8"/>
    <n v="187.94296013353079"/>
    <n v="954.29273865314644"/>
    <x v="8"/>
    <x v="8"/>
  </r>
  <r>
    <x v="9"/>
    <n v="221.77269295756631"/>
    <n v="1176.0654316107127"/>
    <x v="9"/>
    <x v="9"/>
  </r>
  <r>
    <x v="10"/>
    <n v="250.60314304204991"/>
    <n v="1426.6685746527626"/>
    <x v="10"/>
    <x v="10"/>
  </r>
  <r>
    <x v="11"/>
    <n v="250.60314304204991"/>
    <n v="1677.2717176948124"/>
    <x v="11"/>
    <x v="10"/>
  </r>
  <r>
    <x v="12"/>
    <n v="250.60314304204991"/>
    <n v="1927.8748607368623"/>
    <x v="12"/>
    <x v="10"/>
  </r>
  <r>
    <x v="13"/>
    <n v="250.60314304204991"/>
    <n v="2178.4780037789124"/>
    <x v="13"/>
    <x v="10"/>
  </r>
  <r>
    <x v="14"/>
    <n v="250.60314304204991"/>
    <n v="2429.0811468209622"/>
    <x v="14"/>
    <x v="10"/>
  </r>
  <r>
    <x v="15"/>
    <n v="250.60314304204991"/>
    <n v="2679.6842898630121"/>
    <x v="15"/>
    <x v="10"/>
  </r>
  <r>
    <x v="16"/>
    <n v="250.60314304204991"/>
    <n v="2930.2874329050619"/>
    <x v="16"/>
    <x v="10"/>
  </r>
  <r>
    <x v="17"/>
    <n v="250.60314304204991"/>
    <n v="3180.8905759471118"/>
    <x v="17"/>
    <x v="10"/>
  </r>
  <r>
    <x v="18"/>
    <n v="250.60314304204991"/>
    <n v="3431.4937189891616"/>
    <x v="18"/>
    <x v="10"/>
  </r>
  <r>
    <x v="19"/>
    <n v="250.60314304204991"/>
    <n v="3682.0968620312115"/>
    <x v="19"/>
    <x v="10"/>
  </r>
  <r>
    <x v="20"/>
    <n v="250.60314304204991"/>
    <n v="3932.7000050732613"/>
    <x v="20"/>
    <x v="10"/>
  </r>
  <r>
    <x v="21"/>
    <n v="250.60314304204991"/>
    <n v="4183.3031481153112"/>
    <x v="21"/>
    <x v="10"/>
  </r>
  <r>
    <x v="22"/>
    <n v="250.60314304204991"/>
    <n v="4433.906291157361"/>
    <x v="22"/>
    <x v="10"/>
  </r>
  <r>
    <x v="23"/>
    <n v="250.60314304204991"/>
    <n v="4684.5094341994109"/>
    <x v="23"/>
    <x v="10"/>
  </r>
  <r>
    <x v="24"/>
    <n v="250.60314304204991"/>
    <n v="4935.1125772414607"/>
    <x v="24"/>
    <x v="10"/>
  </r>
  <r>
    <x v="25"/>
    <n v="250.60314304204991"/>
    <n v="5185.7157202835106"/>
    <x v="25"/>
    <x v="10"/>
  </r>
  <r>
    <x v="26"/>
    <n v="250.60314304204991"/>
    <n v="5436.3188633255604"/>
    <x v="26"/>
    <x v="10"/>
  </r>
  <r>
    <x v="27"/>
    <n v="250.60314304204991"/>
    <n v="5686.9220063676103"/>
    <x v="27"/>
    <x v="10"/>
  </r>
  <r>
    <x v="28"/>
    <n v="250.60314304204991"/>
    <n v="5937.5251494096601"/>
    <x v="28"/>
    <x v="10"/>
  </r>
  <r>
    <x v="29"/>
    <n v="250.60314304204991"/>
    <n v="6188.12829245171"/>
    <x v="29"/>
    <x v="10"/>
  </r>
  <r>
    <x v="30"/>
    <n v="250.60314304204991"/>
    <n v="6438.7314354937598"/>
    <x v="30"/>
    <x v="10"/>
  </r>
  <r>
    <x v="31"/>
    <n v="250.60314304204991"/>
    <n v="6689.3345785358097"/>
    <x v="31"/>
    <x v="10"/>
  </r>
  <r>
    <x v="32"/>
    <n v="250.60314304204991"/>
    <n v="6939.9377215778595"/>
    <x v="32"/>
    <x v="10"/>
  </r>
  <r>
    <x v="33"/>
    <n v="250.60314304204991"/>
    <n v="7190.5408646199094"/>
    <x v="33"/>
    <x v="10"/>
  </r>
  <r>
    <x v="34"/>
    <n v="250.60314304204991"/>
    <n v="7441.1440076619592"/>
    <x v="34"/>
    <x v="10"/>
  </r>
  <r>
    <x v="35"/>
    <n v="250.60314304204991"/>
    <n v="7691.7471507040091"/>
    <x v="35"/>
    <x v="10"/>
  </r>
  <r>
    <x v="36"/>
    <n v="250.60314304204991"/>
    <n v="7942.3502937460589"/>
    <x v="36"/>
    <x v="10"/>
  </r>
  <r>
    <x v="37"/>
    <n v="250.60314304204991"/>
    <n v="8192.9534367881097"/>
    <x v="37"/>
    <x v="10"/>
  </r>
  <r>
    <x v="38"/>
    <n v="250.60314304204991"/>
    <n v="8443.5565798301595"/>
    <x v="38"/>
    <x v="10"/>
  </r>
  <r>
    <x v="39"/>
    <n v="250.60314304204991"/>
    <n v="8694.1597228722094"/>
    <x v="39"/>
    <x v="10"/>
  </r>
  <r>
    <x v="40"/>
    <n v="250.60314304204991"/>
    <n v="8944.7628659142592"/>
    <x v="40"/>
    <x v="10"/>
  </r>
  <r>
    <x v="41"/>
    <n v="250.60314304204991"/>
    <n v="9195.3660089563091"/>
    <x v="41"/>
    <x v="10"/>
  </r>
  <r>
    <x v="42"/>
    <n v="250.60314304204991"/>
    <n v="9445.9691519983589"/>
    <x v="42"/>
    <x v="10"/>
  </r>
  <r>
    <x v="43"/>
    <n v="250.60314304204991"/>
    <n v="9696.5722950404088"/>
    <x v="43"/>
    <x v="10"/>
  </r>
  <r>
    <x v="44"/>
    <n v="250.60314304204991"/>
    <n v="9947.1754380824586"/>
    <x v="44"/>
    <x v="10"/>
  </r>
  <r>
    <x v="45"/>
    <n v="250.60314304204991"/>
    <n v="10197.778581124508"/>
    <x v="45"/>
    <x v="10"/>
  </r>
  <r>
    <x v="46"/>
    <n v="250.60314304204991"/>
    <n v="10448.381724166558"/>
    <x v="46"/>
    <x v="10"/>
  </r>
  <r>
    <x v="47"/>
    <n v="250.60314304204991"/>
    <n v="10698.984867208608"/>
    <x v="47"/>
    <x v="10"/>
  </r>
  <r>
    <x v="48"/>
    <n v="250.60314304204991"/>
    <n v="10949.588010250658"/>
    <x v="48"/>
    <x v="10"/>
  </r>
  <r>
    <x v="49"/>
    <n v="250.60314304204991"/>
    <n v="11200.191153292708"/>
    <x v="49"/>
    <x v="10"/>
  </r>
  <r>
    <x v="50"/>
    <n v="250.60314304204991"/>
    <n v="11450.794296334758"/>
    <x v="50"/>
    <x v="10"/>
  </r>
  <r>
    <x v="51"/>
    <n v="250.60314304204991"/>
    <n v="11701.397439376808"/>
    <x v="51"/>
    <x v="10"/>
  </r>
  <r>
    <x v="52"/>
    <n v="250.60314304204991"/>
    <n v="11952.000582418857"/>
    <x v="52"/>
    <x v="10"/>
  </r>
  <r>
    <x v="53"/>
    <n v="250.60314304204991"/>
    <n v="12202.603725460907"/>
    <x v="53"/>
    <x v="10"/>
  </r>
  <r>
    <x v="54"/>
    <n v="250.60314304204991"/>
    <n v="12453.206868502957"/>
    <x v="54"/>
    <x v="10"/>
  </r>
  <r>
    <x v="55"/>
    <n v="250.60314304204991"/>
    <n v="12703.810011545007"/>
    <x v="55"/>
    <x v="10"/>
  </r>
  <r>
    <x v="56"/>
    <n v="250.60314304204991"/>
    <n v="12954.413154587057"/>
    <x v="56"/>
    <x v="10"/>
  </r>
  <r>
    <x v="57"/>
    <n v="250.60314304204991"/>
    <n v="13205.016297629107"/>
    <x v="57"/>
    <x v="10"/>
  </r>
  <r>
    <x v="58"/>
    <n v="250.60314304204991"/>
    <n v="13455.619440671157"/>
    <x v="58"/>
    <x v="10"/>
  </r>
  <r>
    <x v="59"/>
    <n v="250.60314304204991"/>
    <n v="13706.222583713206"/>
    <x v="59"/>
    <x v="10"/>
  </r>
  <r>
    <x v="60"/>
    <n v="250.60314304204991"/>
    <n v="13956.825726755256"/>
    <x v="60"/>
    <x v="10"/>
  </r>
  <r>
    <x v="61"/>
    <n v="250.60314304204991"/>
    <n v="14207.428869797306"/>
    <x v="61"/>
    <x v="10"/>
  </r>
  <r>
    <x v="62"/>
    <n v="250.60314304204991"/>
    <n v="14458.032012839356"/>
    <x v="62"/>
    <x v="10"/>
  </r>
  <r>
    <x v="63"/>
    <n v="250.60314304204991"/>
    <n v="14708.635155881406"/>
    <x v="63"/>
    <x v="10"/>
  </r>
  <r>
    <x v="64"/>
    <n v="250.60314304204991"/>
    <n v="14959.238298923456"/>
    <x v="64"/>
    <x v="10"/>
  </r>
  <r>
    <x v="65"/>
    <n v="250.60314304204991"/>
    <n v="15209.841441965506"/>
    <x v="65"/>
    <x v="10"/>
  </r>
  <r>
    <x v="66"/>
    <n v="250.60314304204991"/>
    <n v="15460.444585007555"/>
    <x v="66"/>
    <x v="10"/>
  </r>
  <r>
    <x v="67"/>
    <n v="250.60314304204991"/>
    <n v="15711.047728049605"/>
    <x v="67"/>
    <x v="10"/>
  </r>
  <r>
    <x v="68"/>
    <n v="250.60314304204991"/>
    <n v="15961.650871091655"/>
    <x v="68"/>
    <x v="10"/>
  </r>
  <r>
    <x v="69"/>
    <n v="250.60314304204991"/>
    <n v="16212.254014133705"/>
    <x v="69"/>
    <x v="10"/>
  </r>
  <r>
    <x v="70"/>
    <n v="250.60314304204991"/>
    <n v="16462.857157175757"/>
    <x v="7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1E05C-0E00-9348-9517-1AB0F3A42E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3" firstHeaderRow="1" firstDataRow="1" firstDataCol="1"/>
  <pivotFields count="3">
    <pivotField axis="axisRow" showAll="0">
      <items count="30">
        <item x="0"/>
        <item x="1"/>
        <item x="2"/>
        <item x="4"/>
        <item x="5"/>
        <item x="10"/>
        <item x="6"/>
        <item x="26"/>
        <item x="7"/>
        <item x="8"/>
        <item x="9"/>
        <item x="28"/>
        <item x="11"/>
        <item x="3"/>
        <item x="12"/>
        <item x="13"/>
        <item x="14"/>
        <item x="16"/>
        <item x="17"/>
        <item x="15"/>
        <item x="18"/>
        <item x="19"/>
        <item x="20"/>
        <item x="21"/>
        <item x="22"/>
        <item x="23"/>
        <item x="24"/>
        <item x="25"/>
        <item x="27"/>
        <item t="default"/>
      </items>
    </pivotField>
    <pivotField showAll="0"/>
    <pivotField dataField="1" numFmtId="2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Potential Storage (Gt)" fld="2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37DAE-5C49-2D4F-AE7E-87389E1B8C6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5" firstHeaderRow="0" firstDataRow="1" firstDataCol="1"/>
  <pivotFields count="5">
    <pivotField axis="axisRow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jection Rate Per Annum (Gt)" fld="4" baseField="0" baseItem="0"/>
    <dataField name="Sum of Cumulative Storage (Gt)" fld="3" baseField="0" baseItem="0"/>
  </dataFields>
  <chartFormats count="4">
    <chartFormat chart="0" format="1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4D56B-7E3C-884A-A57F-A003541E2DB8}" name="Table1" displayName="Table1" ref="A1:C30" totalsRowShown="0" headerRowDxfId="18" dataDxfId="17" tableBorderDxfId="16">
  <autoFilter ref="A1:C30" xr:uid="{1AB4D56B-7E3C-884A-A57F-A003541E2DB8}"/>
  <sortState xmlns:xlrd2="http://schemas.microsoft.com/office/spreadsheetml/2017/richdata2" ref="A2:C30">
    <sortCondition descending="1" ref="C1:C30"/>
  </sortState>
  <tableColumns count="3">
    <tableColumn id="1" xr3:uid="{A76063E7-B7D5-6F44-8A3D-2DE1CAD6EBE9}" name="Code" dataDxfId="15"/>
    <tableColumn id="2" xr3:uid="{564F38C7-6F0B-9141-9184-5C01A142A27B}" name="Country" dataDxfId="14"/>
    <tableColumn id="9" xr3:uid="{B260082B-FC9E-604B-9AAD-A22A788A0506}" name="Potential Storage (Gt)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A87C1-7D9B-CC47-A19D-F0BD6F3F4212}" name="Table3" displayName="Table3" ref="A1:C72" totalsRowShown="0">
  <autoFilter ref="A1:C72" xr:uid="{5A5A87C1-7D9B-CC47-A19D-F0BD6F3F4212}"/>
  <tableColumns count="3">
    <tableColumn id="1" xr3:uid="{2485BD1D-36AF-2E4C-9320-5CE4D3CABA2F}" name="Year"/>
    <tableColumn id="4" xr3:uid="{C545B8A1-AE4D-884A-BBCD-BCD39FA96BF3}" name="Cumulative Storage (Gt)"/>
    <tableColumn id="5" xr3:uid="{BDEE8C90-EECB-E54B-A48C-FDEB0FE45E85}" name="Injection Rate Per Annum (Gt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A4CEB0-48C9-AA40-B417-6ABAEFDFFE44}" name="Table2" displayName="Table2" ref="A1:F72" totalsRowShown="0" headerRowDxfId="12" dataDxfId="11">
  <autoFilter ref="A1:F72" xr:uid="{89A4CEB0-48C9-AA40-B417-6ABAEFDFFE44}"/>
  <tableColumns count="6">
    <tableColumn id="1" xr3:uid="{9DA440ED-D9F3-BF4B-BBA3-E12AC5F83B83}" name="Year" dataDxfId="10"/>
    <tableColumn id="2" xr3:uid="{1AE2497A-4374-D140-886B-F3EE7270B552}" name="Injection Rate" dataDxfId="9">
      <calculatedColumnFormula>B1*1.05</calculatedColumnFormula>
    </tableColumn>
    <tableColumn id="3" xr3:uid="{103532A1-23AC-B543-B854-CB6BD9BF085E}" name="Cummulative" dataDxfId="8">
      <calculatedColumnFormula>C1+B2</calculatedColumnFormula>
    </tableColumn>
    <tableColumn id="4" xr3:uid="{7C69BB77-FCC8-F646-A55A-3348EF5E95E3}" name="Cumalitve (Gt)" dataDxfId="7">
      <calculatedColumnFormula>C2/1000</calculatedColumnFormula>
    </tableColumn>
    <tableColumn id="5" xr3:uid="{7A5C3413-6293-0441-BED0-5B3D396B60E1}" name="Injection Rate (Gt)">
      <calculatedColumnFormula>B2/1000</calculatedColumnFormula>
    </tableColumn>
    <tableColumn id="6" xr3:uid="{D4DCFF3C-2F20-1040-91F3-2FC889BF2600}" name="Column1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DDB014-AEE8-9349-B976-25913359EB2B}" name="Table4" displayName="Table4" ref="A1:E72" totalsRowShown="0" headerRowDxfId="0" dataDxfId="1">
  <autoFilter ref="A1:E72" xr:uid="{F6DDB014-AEE8-9349-B976-25913359EB2B}"/>
  <tableColumns count="5">
    <tableColumn id="1" xr3:uid="{C73C3E62-6A81-7A48-8339-EFB3D7FD4C96}" name="Year" dataDxfId="5"/>
    <tableColumn id="2" xr3:uid="{554F34E3-9986-B247-BB68-F587FD3338F8}" name="storage amount" dataDxfId="4"/>
    <tableColumn id="3" xr3:uid="{E0184F33-EA0F-5345-83D1-FE7F11679D94}" name="Cummulative" dataDxfId="3">
      <calculatedColumnFormula>C1+B2</calculatedColumnFormula>
    </tableColumn>
    <tableColumn id="4" xr3:uid="{3AE59340-8FF1-1D45-BD55-DDA165967169}" name="Cumulative Storage (Gt)" dataDxfId="2">
      <calculatedColumnFormula>C2/1000</calculatedColumnFormula>
    </tableColumn>
    <tableColumn id="5" xr3:uid="{28D4906F-320A-0E4E-9DE2-D8D275E7787D}" name="Injection Rate Per Annum (Gt)">
      <calculatedColumnFormula>B2/1000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923D7F-A9A1-5743-8618-A17415389978}" name="Table7" displayName="Table7" ref="A1:C72" totalsRowShown="0">
  <autoFilter ref="A1:C72" xr:uid="{79923D7F-A9A1-5743-8618-A17415389978}"/>
  <tableColumns count="3">
    <tableColumn id="1" xr3:uid="{102E7FF9-38C9-E84D-A83E-C31F8AC6D2A7}" name="Year"/>
    <tableColumn id="4" xr3:uid="{63C7A831-001E-E54A-8CED-26A2B474F6D6}" name="Cumulative Storage (Gt)"/>
    <tableColumn id="5" xr3:uid="{6C684AFE-13B6-BF45-8069-1E0BC816F4C0}" name="Injection Rate Per Annum (G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7972-E033-B749-B605-13F0133608AA}">
  <dimension ref="A3:B33"/>
  <sheetViews>
    <sheetView workbookViewId="0">
      <selection activeCell="N7" sqref="N7"/>
    </sheetView>
  </sheetViews>
  <sheetFormatPr baseColWidth="10" defaultRowHeight="15" x14ac:dyDescent="0.2"/>
  <cols>
    <col min="1" max="1" width="12.1640625" bestFit="1" customWidth="1"/>
    <col min="2" max="2" width="23.5" bestFit="1" customWidth="1"/>
  </cols>
  <sheetData>
    <row r="3" spans="1:2" x14ac:dyDescent="0.2">
      <c r="A3" s="2" t="s">
        <v>61</v>
      </c>
      <c r="B3" t="s">
        <v>63</v>
      </c>
    </row>
    <row r="4" spans="1:2" x14ac:dyDescent="0.2">
      <c r="A4" s="3" t="s">
        <v>57</v>
      </c>
      <c r="B4" s="1">
        <v>1.13E-5</v>
      </c>
    </row>
    <row r="5" spans="1:2" x14ac:dyDescent="0.2">
      <c r="A5" s="3" t="s">
        <v>55</v>
      </c>
      <c r="B5" s="1">
        <v>0</v>
      </c>
    </row>
    <row r="6" spans="1:2" x14ac:dyDescent="0.2">
      <c r="A6" s="3" t="s">
        <v>53</v>
      </c>
      <c r="B6" s="1">
        <v>0.57342807799999995</v>
      </c>
    </row>
    <row r="7" spans="1:2" x14ac:dyDescent="0.2">
      <c r="A7" s="3" t="s">
        <v>51</v>
      </c>
      <c r="B7" s="1">
        <v>2.3345825000000001E-2</v>
      </c>
    </row>
    <row r="8" spans="1:2" x14ac:dyDescent="0.2">
      <c r="A8" s="3" t="s">
        <v>49</v>
      </c>
      <c r="B8" s="1">
        <v>0</v>
      </c>
    </row>
    <row r="9" spans="1:2" x14ac:dyDescent="0.2">
      <c r="A9" s="3" t="s">
        <v>47</v>
      </c>
      <c r="B9" s="1">
        <v>1.2606488659999999</v>
      </c>
    </row>
    <row r="10" spans="1:2" x14ac:dyDescent="0.2">
      <c r="A10" s="3" t="s">
        <v>45</v>
      </c>
      <c r="B10" s="1">
        <v>4.6686674740000003</v>
      </c>
    </row>
    <row r="11" spans="1:2" x14ac:dyDescent="0.2">
      <c r="A11" s="3" t="s">
        <v>43</v>
      </c>
      <c r="B11" s="1">
        <v>1.8791301039999999</v>
      </c>
    </row>
    <row r="12" spans="1:2" x14ac:dyDescent="0.2">
      <c r="A12" s="3" t="s">
        <v>41</v>
      </c>
      <c r="B12" s="1">
        <v>3.7213110000000001E-3</v>
      </c>
    </row>
    <row r="13" spans="1:2" x14ac:dyDescent="0.2">
      <c r="A13" s="3" t="s">
        <v>39</v>
      </c>
      <c r="B13" s="1">
        <v>0</v>
      </c>
    </row>
    <row r="14" spans="1:2" x14ac:dyDescent="0.2">
      <c r="A14" s="3" t="s">
        <v>37</v>
      </c>
      <c r="B14" s="1">
        <v>3.6033377170000001</v>
      </c>
    </row>
    <row r="15" spans="1:2" x14ac:dyDescent="0.2">
      <c r="A15" s="3" t="s">
        <v>35</v>
      </c>
      <c r="B15" s="1">
        <v>8.9017297420000006</v>
      </c>
    </row>
    <row r="16" spans="1:2" x14ac:dyDescent="0.2">
      <c r="A16" s="3" t="s">
        <v>33</v>
      </c>
      <c r="B16" s="1">
        <v>1.600197353</v>
      </c>
    </row>
    <row r="17" spans="1:2" x14ac:dyDescent="0.2">
      <c r="A17" s="3" t="s">
        <v>31</v>
      </c>
      <c r="B17" s="1">
        <v>1.308291906</v>
      </c>
    </row>
    <row r="18" spans="1:2" x14ac:dyDescent="0.2">
      <c r="A18" s="3" t="s">
        <v>29</v>
      </c>
      <c r="B18" s="1">
        <v>2.1748263E-2</v>
      </c>
    </row>
    <row r="19" spans="1:2" x14ac:dyDescent="0.2">
      <c r="A19" s="3" t="s">
        <v>27</v>
      </c>
      <c r="B19" s="1">
        <v>3.062954408</v>
      </c>
    </row>
    <row r="20" spans="1:2" x14ac:dyDescent="0.2">
      <c r="A20" s="3" t="s">
        <v>25</v>
      </c>
      <c r="B20" s="1">
        <v>1.9837426360000001</v>
      </c>
    </row>
    <row r="21" spans="1:2" x14ac:dyDescent="0.2">
      <c r="A21" s="3" t="s">
        <v>23</v>
      </c>
      <c r="B21" s="1">
        <v>0.42391875600000001</v>
      </c>
    </row>
    <row r="22" spans="1:2" x14ac:dyDescent="0.2">
      <c r="A22" s="3" t="s">
        <v>21</v>
      </c>
      <c r="B22" s="1">
        <v>0</v>
      </c>
    </row>
    <row r="23" spans="1:2" x14ac:dyDescent="0.2">
      <c r="A23" s="3" t="s">
        <v>19</v>
      </c>
      <c r="B23" s="1">
        <v>0.39869689600000002</v>
      </c>
    </row>
    <row r="24" spans="1:2" x14ac:dyDescent="0.2">
      <c r="A24" s="3" t="s">
        <v>17</v>
      </c>
      <c r="B24" s="1">
        <v>0.58415423399999999</v>
      </c>
    </row>
    <row r="25" spans="1:2" x14ac:dyDescent="0.2">
      <c r="A25" s="3" t="s">
        <v>15</v>
      </c>
      <c r="B25" s="1">
        <v>1.8310086879999998</v>
      </c>
    </row>
    <row r="26" spans="1:2" x14ac:dyDescent="0.2">
      <c r="A26" s="3" t="s">
        <v>13</v>
      </c>
      <c r="B26" s="1">
        <v>6.9474020039999997</v>
      </c>
    </row>
    <row r="27" spans="1:2" x14ac:dyDescent="0.2">
      <c r="A27" s="3" t="s">
        <v>11</v>
      </c>
      <c r="B27" s="1">
        <v>1.9161548879999999</v>
      </c>
    </row>
    <row r="28" spans="1:2" x14ac:dyDescent="0.2">
      <c r="A28" s="3" t="s">
        <v>9</v>
      </c>
      <c r="B28" s="1">
        <v>0.40063056999999996</v>
      </c>
    </row>
    <row r="29" spans="1:2" x14ac:dyDescent="0.2">
      <c r="A29" s="3" t="s">
        <v>7</v>
      </c>
      <c r="B29" s="1">
        <v>0.88219997699999997</v>
      </c>
    </row>
    <row r="30" spans="1:2" x14ac:dyDescent="0.2">
      <c r="A30" s="3" t="s">
        <v>5</v>
      </c>
      <c r="B30" s="1">
        <v>6.7000000000000002E-5</v>
      </c>
    </row>
    <row r="31" spans="1:2" x14ac:dyDescent="0.2">
      <c r="A31" s="3" t="s">
        <v>3</v>
      </c>
      <c r="B31" s="1">
        <v>0</v>
      </c>
    </row>
    <row r="32" spans="1:2" x14ac:dyDescent="0.2">
      <c r="A32" s="3" t="s">
        <v>1</v>
      </c>
      <c r="B32" s="1">
        <v>0.247208761</v>
      </c>
    </row>
    <row r="33" spans="1:2" x14ac:dyDescent="0.2">
      <c r="A33" s="3" t="s">
        <v>62</v>
      </c>
      <c r="B33" s="1">
        <v>42.522396756999996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5BFD-1BD3-2645-9AA1-F56901FBB1C8}">
  <dimension ref="A1:C30"/>
  <sheetViews>
    <sheetView workbookViewId="0">
      <selection activeCell="B12" sqref="B12"/>
    </sheetView>
  </sheetViews>
  <sheetFormatPr baseColWidth="10" defaultColWidth="29.33203125" defaultRowHeight="15" x14ac:dyDescent="0.2"/>
  <sheetData>
    <row r="1" spans="1:3" x14ac:dyDescent="0.2">
      <c r="A1" t="s">
        <v>59</v>
      </c>
      <c r="B1" t="s">
        <v>58</v>
      </c>
      <c r="C1" s="4" t="s">
        <v>60</v>
      </c>
    </row>
    <row r="2" spans="1:3" x14ac:dyDescent="0.2">
      <c r="A2" s="1" t="s">
        <v>35</v>
      </c>
      <c r="B2" s="1" t="s">
        <v>34</v>
      </c>
      <c r="C2" s="1">
        <v>8.9017297420000006</v>
      </c>
    </row>
    <row r="3" spans="1:3" x14ac:dyDescent="0.2">
      <c r="A3" s="1" t="s">
        <v>13</v>
      </c>
      <c r="B3" s="1" t="s">
        <v>12</v>
      </c>
      <c r="C3" s="1">
        <v>6.9474020039999997</v>
      </c>
    </row>
    <row r="4" spans="1:3" x14ac:dyDescent="0.2">
      <c r="A4" s="1" t="s">
        <v>45</v>
      </c>
      <c r="B4" s="1" t="s">
        <v>44</v>
      </c>
      <c r="C4" s="1">
        <v>4.6686674740000003</v>
      </c>
    </row>
    <row r="5" spans="1:3" x14ac:dyDescent="0.2">
      <c r="A5" s="1" t="s">
        <v>37</v>
      </c>
      <c r="B5" s="1" t="s">
        <v>36</v>
      </c>
      <c r="C5" s="1">
        <v>3.6033377170000001</v>
      </c>
    </row>
    <row r="6" spans="1:3" x14ac:dyDescent="0.2">
      <c r="A6" s="1" t="s">
        <v>27</v>
      </c>
      <c r="B6" s="1" t="s">
        <v>26</v>
      </c>
      <c r="C6" s="1">
        <v>3.062954408</v>
      </c>
    </row>
    <row r="7" spans="1:3" x14ac:dyDescent="0.2">
      <c r="A7" s="1" t="s">
        <v>25</v>
      </c>
      <c r="B7" s="1" t="s">
        <v>24</v>
      </c>
      <c r="C7" s="1">
        <v>1.9837426360000001</v>
      </c>
    </row>
    <row r="8" spans="1:3" x14ac:dyDescent="0.2">
      <c r="A8" s="1" t="s">
        <v>11</v>
      </c>
      <c r="B8" s="1" t="s">
        <v>10</v>
      </c>
      <c r="C8" s="1">
        <v>1.9161548879999999</v>
      </c>
    </row>
    <row r="9" spans="1:3" x14ac:dyDescent="0.2">
      <c r="A9" s="1" t="s">
        <v>43</v>
      </c>
      <c r="B9" s="1" t="s">
        <v>42</v>
      </c>
      <c r="C9" s="1">
        <v>1.8791301039999999</v>
      </c>
    </row>
    <row r="10" spans="1:3" x14ac:dyDescent="0.2">
      <c r="A10" s="1" t="s">
        <v>15</v>
      </c>
      <c r="B10" s="1" t="s">
        <v>14</v>
      </c>
      <c r="C10" s="1">
        <v>1.8310086879999998</v>
      </c>
    </row>
    <row r="11" spans="1:3" x14ac:dyDescent="0.2">
      <c r="A11" s="1" t="s">
        <v>33</v>
      </c>
      <c r="B11" s="1" t="s">
        <v>32</v>
      </c>
      <c r="C11" s="1">
        <v>1.600197353</v>
      </c>
    </row>
    <row r="12" spans="1:3" x14ac:dyDescent="0.2">
      <c r="A12" s="1" t="s">
        <v>31</v>
      </c>
      <c r="B12" s="1" t="s">
        <v>30</v>
      </c>
      <c r="C12" s="1">
        <v>1.308291906</v>
      </c>
    </row>
    <row r="13" spans="1:3" x14ac:dyDescent="0.2">
      <c r="A13" s="1" t="s">
        <v>47</v>
      </c>
      <c r="B13" s="1" t="s">
        <v>46</v>
      </c>
      <c r="C13" s="1">
        <v>1.2606488659999999</v>
      </c>
    </row>
    <row r="14" spans="1:3" x14ac:dyDescent="0.2">
      <c r="A14" s="1" t="s">
        <v>7</v>
      </c>
      <c r="B14" s="1" t="s">
        <v>6</v>
      </c>
      <c r="C14" s="1">
        <v>0.88219997699999997</v>
      </c>
    </row>
    <row r="15" spans="1:3" x14ac:dyDescent="0.2">
      <c r="A15" s="1" t="s">
        <v>17</v>
      </c>
      <c r="B15" s="1" t="s">
        <v>16</v>
      </c>
      <c r="C15" s="1">
        <v>0.58415423399999999</v>
      </c>
    </row>
    <row r="16" spans="1:3" x14ac:dyDescent="0.2">
      <c r="A16" s="1" t="s">
        <v>53</v>
      </c>
      <c r="B16" s="1" t="s">
        <v>52</v>
      </c>
      <c r="C16" s="1">
        <v>0.57342807799999995</v>
      </c>
    </row>
    <row r="17" spans="1:3" x14ac:dyDescent="0.2">
      <c r="A17" s="1" t="s">
        <v>23</v>
      </c>
      <c r="B17" s="1" t="s">
        <v>22</v>
      </c>
      <c r="C17" s="1">
        <v>0.42391875600000001</v>
      </c>
    </row>
    <row r="18" spans="1:3" x14ac:dyDescent="0.2">
      <c r="A18" s="1" t="s">
        <v>9</v>
      </c>
      <c r="B18" s="1" t="s">
        <v>8</v>
      </c>
      <c r="C18" s="1">
        <v>0.40063056999999996</v>
      </c>
    </row>
    <row r="19" spans="1:3" x14ac:dyDescent="0.2">
      <c r="A19" s="1" t="s">
        <v>19</v>
      </c>
      <c r="B19" s="1" t="s">
        <v>18</v>
      </c>
      <c r="C19" s="1">
        <v>0.39869689600000002</v>
      </c>
    </row>
    <row r="20" spans="1:3" x14ac:dyDescent="0.2">
      <c r="A20" s="1" t="s">
        <v>1</v>
      </c>
      <c r="B20" s="1" t="s">
        <v>0</v>
      </c>
      <c r="C20" s="1">
        <v>0.247208761</v>
      </c>
    </row>
    <row r="21" spans="1:3" x14ac:dyDescent="0.2">
      <c r="A21" s="1" t="s">
        <v>51</v>
      </c>
      <c r="B21" s="1" t="s">
        <v>50</v>
      </c>
      <c r="C21" s="1">
        <v>2.3345825000000001E-2</v>
      </c>
    </row>
    <row r="22" spans="1:3" x14ac:dyDescent="0.2">
      <c r="A22" s="1" t="s">
        <v>29</v>
      </c>
      <c r="B22" s="1" t="s">
        <v>28</v>
      </c>
      <c r="C22" s="1">
        <v>2.1748263E-2</v>
      </c>
    </row>
    <row r="23" spans="1:3" x14ac:dyDescent="0.2">
      <c r="A23" s="1" t="s">
        <v>41</v>
      </c>
      <c r="B23" s="1" t="s">
        <v>40</v>
      </c>
      <c r="C23" s="1">
        <v>3.7213110000000001E-3</v>
      </c>
    </row>
    <row r="24" spans="1:3" x14ac:dyDescent="0.2">
      <c r="A24" s="1" t="s">
        <v>5</v>
      </c>
      <c r="B24" s="1" t="s">
        <v>4</v>
      </c>
      <c r="C24" s="1">
        <v>6.7000000000000002E-5</v>
      </c>
    </row>
    <row r="25" spans="1:3" x14ac:dyDescent="0.2">
      <c r="A25" s="1" t="s">
        <v>57</v>
      </c>
      <c r="B25" s="1" t="s">
        <v>56</v>
      </c>
      <c r="C25" s="1">
        <v>1.13E-5</v>
      </c>
    </row>
    <row r="26" spans="1:3" x14ac:dyDescent="0.2">
      <c r="A26" s="1" t="s">
        <v>55</v>
      </c>
      <c r="B26" s="1" t="s">
        <v>54</v>
      </c>
      <c r="C26" s="1">
        <v>0</v>
      </c>
    </row>
    <row r="27" spans="1:3" x14ac:dyDescent="0.2">
      <c r="A27" s="1" t="s">
        <v>49</v>
      </c>
      <c r="B27" s="1" t="s">
        <v>48</v>
      </c>
      <c r="C27" s="1">
        <v>0</v>
      </c>
    </row>
    <row r="28" spans="1:3" x14ac:dyDescent="0.2">
      <c r="A28" s="1" t="s">
        <v>39</v>
      </c>
      <c r="B28" s="1" t="s">
        <v>38</v>
      </c>
      <c r="C28" s="1">
        <v>0</v>
      </c>
    </row>
    <row r="29" spans="1:3" x14ac:dyDescent="0.2">
      <c r="A29" s="1" t="s">
        <v>21</v>
      </c>
      <c r="B29" s="1" t="s">
        <v>20</v>
      </c>
      <c r="C29" s="1">
        <v>0</v>
      </c>
    </row>
    <row r="30" spans="1:3" x14ac:dyDescent="0.2">
      <c r="A30" s="1" t="s">
        <v>3</v>
      </c>
      <c r="B30" s="1" t="s">
        <v>2</v>
      </c>
      <c r="C30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E68D-413C-1E45-A004-D61815D8BC1D}">
  <dimension ref="A3:C75"/>
  <sheetViews>
    <sheetView workbookViewId="0">
      <selection activeCell="B16" sqref="B16"/>
    </sheetView>
  </sheetViews>
  <sheetFormatPr baseColWidth="10" defaultRowHeight="15" x14ac:dyDescent="0.2"/>
  <cols>
    <col min="1" max="1" width="12.1640625" bestFit="1" customWidth="1"/>
    <col min="2" max="2" width="30.1640625" bestFit="1" customWidth="1"/>
    <col min="3" max="3" width="25.1640625" bestFit="1" customWidth="1"/>
    <col min="4" max="4" width="8.1640625" bestFit="1" customWidth="1"/>
    <col min="5" max="5" width="10.1640625" bestFit="1" customWidth="1"/>
    <col min="6" max="16" width="12.1640625" bestFit="1" customWidth="1"/>
    <col min="17" max="17" width="11.1640625" bestFit="1" customWidth="1"/>
    <col min="18" max="26" width="12.1640625" bestFit="1" customWidth="1"/>
    <col min="27" max="27" width="11.1640625" bestFit="1" customWidth="1"/>
    <col min="28" max="39" width="12.1640625" bestFit="1" customWidth="1"/>
    <col min="40" max="40" width="11.1640625" bestFit="1" customWidth="1"/>
    <col min="41" max="51" width="12.1640625" bestFit="1" customWidth="1"/>
    <col min="52" max="52" width="11.1640625" bestFit="1" customWidth="1"/>
    <col min="53" max="58" width="12.1640625" bestFit="1" customWidth="1"/>
    <col min="59" max="59" width="11.1640625" bestFit="1" customWidth="1"/>
    <col min="60" max="65" width="12.1640625" bestFit="1" customWidth="1"/>
    <col min="66" max="66" width="11.1640625" bestFit="1" customWidth="1"/>
    <col min="67" max="72" width="12.1640625" bestFit="1" customWidth="1"/>
    <col min="73" max="73" width="10" bestFit="1" customWidth="1"/>
    <col min="74" max="75" width="12.1640625" bestFit="1" customWidth="1"/>
    <col min="76" max="76" width="11.1640625" bestFit="1" customWidth="1"/>
    <col min="77" max="82" width="12.1640625" bestFit="1" customWidth="1"/>
    <col min="83" max="83" width="21" bestFit="1" customWidth="1"/>
    <col min="84" max="84" width="10" bestFit="1" customWidth="1"/>
  </cols>
  <sheetData>
    <row r="3" spans="1:3" x14ac:dyDescent="0.2">
      <c r="A3" s="2" t="s">
        <v>61</v>
      </c>
      <c r="B3" t="s">
        <v>73</v>
      </c>
      <c r="C3" t="s">
        <v>71</v>
      </c>
    </row>
    <row r="4" spans="1:3" x14ac:dyDescent="0.2">
      <c r="A4" s="3">
        <v>2030</v>
      </c>
      <c r="B4">
        <v>0.05</v>
      </c>
      <c r="C4">
        <v>0.05</v>
      </c>
    </row>
    <row r="5" spans="1:3" x14ac:dyDescent="0.2">
      <c r="A5" s="3">
        <v>2031</v>
      </c>
      <c r="B5">
        <v>5.8999999999999997E-2</v>
      </c>
      <c r="C5">
        <v>0.109</v>
      </c>
    </row>
    <row r="6" spans="1:3" x14ac:dyDescent="0.2">
      <c r="A6" s="3">
        <v>2032</v>
      </c>
      <c r="B6">
        <v>6.9619999999999987E-2</v>
      </c>
      <c r="C6">
        <v>0.17862</v>
      </c>
    </row>
    <row r="7" spans="1:3" x14ac:dyDescent="0.2">
      <c r="A7" s="3">
        <v>2033</v>
      </c>
      <c r="B7">
        <v>8.2151599999999991E-2</v>
      </c>
      <c r="C7">
        <v>0.26077159999999999</v>
      </c>
    </row>
    <row r="8" spans="1:3" x14ac:dyDescent="0.2">
      <c r="A8" s="3">
        <v>2034</v>
      </c>
      <c r="B8">
        <v>9.6938887999999973E-2</v>
      </c>
      <c r="C8">
        <v>0.35771048799999994</v>
      </c>
    </row>
    <row r="9" spans="1:3" x14ac:dyDescent="0.2">
      <c r="A9" s="3">
        <v>2035</v>
      </c>
      <c r="B9">
        <v>0.11438788783999997</v>
      </c>
      <c r="C9">
        <v>0.47209837583999992</v>
      </c>
    </row>
    <row r="10" spans="1:3" x14ac:dyDescent="0.2">
      <c r="A10" s="3">
        <v>2036</v>
      </c>
      <c r="B10">
        <v>0.13497770765119996</v>
      </c>
      <c r="C10">
        <v>0.60707608349119979</v>
      </c>
    </row>
    <row r="11" spans="1:3" x14ac:dyDescent="0.2">
      <c r="A11" s="3">
        <v>2037</v>
      </c>
      <c r="B11">
        <v>0.15927369502841596</v>
      </c>
      <c r="C11">
        <v>0.76634977851961572</v>
      </c>
    </row>
    <row r="12" spans="1:3" x14ac:dyDescent="0.2">
      <c r="A12" s="3">
        <v>2038</v>
      </c>
      <c r="B12">
        <v>0.18794296013353079</v>
      </c>
      <c r="C12">
        <v>0.95429273865314646</v>
      </c>
    </row>
    <row r="13" spans="1:3" x14ac:dyDescent="0.2">
      <c r="A13" s="3">
        <v>2039</v>
      </c>
      <c r="B13">
        <v>0.2217726929575663</v>
      </c>
      <c r="C13">
        <v>1.1760654316107126</v>
      </c>
    </row>
    <row r="14" spans="1:3" x14ac:dyDescent="0.2">
      <c r="A14" s="3">
        <v>2040</v>
      </c>
      <c r="B14">
        <v>0.25060314304204989</v>
      </c>
      <c r="C14">
        <v>1.4266685746527625</v>
      </c>
    </row>
    <row r="15" spans="1:3" x14ac:dyDescent="0.2">
      <c r="A15" s="3">
        <v>2041</v>
      </c>
      <c r="B15">
        <v>0.25060314304204989</v>
      </c>
      <c r="C15">
        <v>1.6772717176948124</v>
      </c>
    </row>
    <row r="16" spans="1:3" x14ac:dyDescent="0.2">
      <c r="A16" s="3">
        <v>2042</v>
      </c>
      <c r="B16">
        <v>0.25060314304204989</v>
      </c>
      <c r="C16">
        <v>1.9278748607368623</v>
      </c>
    </row>
    <row r="17" spans="1:3" x14ac:dyDescent="0.2">
      <c r="A17" s="3">
        <v>2043</v>
      </c>
      <c r="B17">
        <v>0.25060314304204989</v>
      </c>
      <c r="C17">
        <v>2.1784780037789124</v>
      </c>
    </row>
    <row r="18" spans="1:3" x14ac:dyDescent="0.2">
      <c r="A18" s="3">
        <v>2044</v>
      </c>
      <c r="B18">
        <v>0.25060314304204989</v>
      </c>
      <c r="C18">
        <v>2.4290811468209621</v>
      </c>
    </row>
    <row r="19" spans="1:3" x14ac:dyDescent="0.2">
      <c r="A19" s="3">
        <v>2045</v>
      </c>
      <c r="B19">
        <v>0.25060314304204989</v>
      </c>
      <c r="C19">
        <v>2.6796842898630122</v>
      </c>
    </row>
    <row r="20" spans="1:3" x14ac:dyDescent="0.2">
      <c r="A20" s="3">
        <v>2046</v>
      </c>
      <c r="B20">
        <v>0.25060314304204989</v>
      </c>
      <c r="C20">
        <v>2.9302874329050619</v>
      </c>
    </row>
    <row r="21" spans="1:3" x14ac:dyDescent="0.2">
      <c r="A21" s="3">
        <v>2047</v>
      </c>
      <c r="B21">
        <v>0.25060314304204989</v>
      </c>
      <c r="C21">
        <v>3.1808905759471116</v>
      </c>
    </row>
    <row r="22" spans="1:3" x14ac:dyDescent="0.2">
      <c r="A22" s="3">
        <v>2048</v>
      </c>
      <c r="B22">
        <v>0.25060314304204989</v>
      </c>
      <c r="C22">
        <v>3.4314937189891617</v>
      </c>
    </row>
    <row r="23" spans="1:3" x14ac:dyDescent="0.2">
      <c r="A23" s="3">
        <v>2049</v>
      </c>
      <c r="B23">
        <v>0.25060314304204989</v>
      </c>
      <c r="C23">
        <v>3.6820968620312113</v>
      </c>
    </row>
    <row r="24" spans="1:3" x14ac:dyDescent="0.2">
      <c r="A24" s="3">
        <v>2050</v>
      </c>
      <c r="B24">
        <v>0.25060314304204989</v>
      </c>
      <c r="C24">
        <v>3.9327000050732615</v>
      </c>
    </row>
    <row r="25" spans="1:3" x14ac:dyDescent="0.2">
      <c r="A25" s="3">
        <v>2051</v>
      </c>
      <c r="B25">
        <v>0.25060314304204989</v>
      </c>
      <c r="C25">
        <v>4.1833031481153116</v>
      </c>
    </row>
    <row r="26" spans="1:3" x14ac:dyDescent="0.2">
      <c r="A26" s="3">
        <v>2052</v>
      </c>
      <c r="B26">
        <v>0.25060314304204989</v>
      </c>
      <c r="C26">
        <v>4.4339062911573608</v>
      </c>
    </row>
    <row r="27" spans="1:3" x14ac:dyDescent="0.2">
      <c r="A27" s="3">
        <v>2053</v>
      </c>
      <c r="B27">
        <v>0.25060314304204989</v>
      </c>
      <c r="C27">
        <v>4.6845094341994109</v>
      </c>
    </row>
    <row r="28" spans="1:3" x14ac:dyDescent="0.2">
      <c r="A28" s="3">
        <v>2054</v>
      </c>
      <c r="B28">
        <v>0.25060314304204989</v>
      </c>
      <c r="C28">
        <v>4.935112577241461</v>
      </c>
    </row>
    <row r="29" spans="1:3" x14ac:dyDescent="0.2">
      <c r="A29" s="3">
        <v>2055</v>
      </c>
      <c r="B29">
        <v>0.25060314304204989</v>
      </c>
      <c r="C29">
        <v>5.1857157202835102</v>
      </c>
    </row>
    <row r="30" spans="1:3" x14ac:dyDescent="0.2">
      <c r="A30" s="3">
        <v>2056</v>
      </c>
      <c r="B30">
        <v>0.25060314304204989</v>
      </c>
      <c r="C30">
        <v>5.4363188633255604</v>
      </c>
    </row>
    <row r="31" spans="1:3" x14ac:dyDescent="0.2">
      <c r="A31" s="3">
        <v>2057</v>
      </c>
      <c r="B31">
        <v>0.25060314304204989</v>
      </c>
      <c r="C31">
        <v>5.6869220063676105</v>
      </c>
    </row>
    <row r="32" spans="1:3" x14ac:dyDescent="0.2">
      <c r="A32" s="3">
        <v>2058</v>
      </c>
      <c r="B32">
        <v>0.25060314304204989</v>
      </c>
      <c r="C32">
        <v>5.9375251494096597</v>
      </c>
    </row>
    <row r="33" spans="1:3" x14ac:dyDescent="0.2">
      <c r="A33" s="3">
        <v>2059</v>
      </c>
      <c r="B33">
        <v>0.25060314304204989</v>
      </c>
      <c r="C33">
        <v>6.1881282924517098</v>
      </c>
    </row>
    <row r="34" spans="1:3" x14ac:dyDescent="0.2">
      <c r="A34" s="3">
        <v>2060</v>
      </c>
      <c r="B34">
        <v>0.25060314304204989</v>
      </c>
      <c r="C34">
        <v>6.4387314354937599</v>
      </c>
    </row>
    <row r="35" spans="1:3" x14ac:dyDescent="0.2">
      <c r="A35" s="3">
        <v>2061</v>
      </c>
      <c r="B35">
        <v>0.25060314304204989</v>
      </c>
      <c r="C35">
        <v>6.68933457853581</v>
      </c>
    </row>
    <row r="36" spans="1:3" x14ac:dyDescent="0.2">
      <c r="A36" s="3">
        <v>2062</v>
      </c>
      <c r="B36">
        <v>0.25060314304204989</v>
      </c>
      <c r="C36">
        <v>6.9399377215778593</v>
      </c>
    </row>
    <row r="37" spans="1:3" x14ac:dyDescent="0.2">
      <c r="A37" s="3">
        <v>2063</v>
      </c>
      <c r="B37">
        <v>0.25060314304204989</v>
      </c>
      <c r="C37">
        <v>7.1905408646199094</v>
      </c>
    </row>
    <row r="38" spans="1:3" x14ac:dyDescent="0.2">
      <c r="A38" s="3">
        <v>2064</v>
      </c>
      <c r="B38">
        <v>0.25060314304204989</v>
      </c>
      <c r="C38">
        <v>7.4411440076619595</v>
      </c>
    </row>
    <row r="39" spans="1:3" x14ac:dyDescent="0.2">
      <c r="A39" s="3">
        <v>2065</v>
      </c>
      <c r="B39">
        <v>0.25060314304204989</v>
      </c>
      <c r="C39">
        <v>7.6917471507040087</v>
      </c>
    </row>
    <row r="40" spans="1:3" x14ac:dyDescent="0.2">
      <c r="A40" s="3">
        <v>2066</v>
      </c>
      <c r="B40">
        <v>0.25060314304204989</v>
      </c>
      <c r="C40">
        <v>7.9423502937460588</v>
      </c>
    </row>
    <row r="41" spans="1:3" x14ac:dyDescent="0.2">
      <c r="A41" s="3">
        <v>2067</v>
      </c>
      <c r="B41">
        <v>0.25060314304204989</v>
      </c>
      <c r="C41">
        <v>8.1929534367881089</v>
      </c>
    </row>
    <row r="42" spans="1:3" x14ac:dyDescent="0.2">
      <c r="A42" s="3">
        <v>2068</v>
      </c>
      <c r="B42">
        <v>0.25060314304204989</v>
      </c>
      <c r="C42">
        <v>8.4435565798301599</v>
      </c>
    </row>
    <row r="43" spans="1:3" x14ac:dyDescent="0.2">
      <c r="A43" s="3">
        <v>2069</v>
      </c>
      <c r="B43">
        <v>0.25060314304204989</v>
      </c>
      <c r="C43">
        <v>8.6941597228722092</v>
      </c>
    </row>
    <row r="44" spans="1:3" x14ac:dyDescent="0.2">
      <c r="A44" s="3">
        <v>2070</v>
      </c>
      <c r="B44">
        <v>0.25060314304204989</v>
      </c>
      <c r="C44">
        <v>8.9447628659142584</v>
      </c>
    </row>
    <row r="45" spans="1:3" x14ac:dyDescent="0.2">
      <c r="A45" s="3">
        <v>2071</v>
      </c>
      <c r="B45">
        <v>0.25060314304204989</v>
      </c>
      <c r="C45">
        <v>9.1953660089563094</v>
      </c>
    </row>
    <row r="46" spans="1:3" x14ac:dyDescent="0.2">
      <c r="A46" s="3">
        <v>2072</v>
      </c>
      <c r="B46">
        <v>0.25060314304204989</v>
      </c>
      <c r="C46">
        <v>9.4459691519983586</v>
      </c>
    </row>
    <row r="47" spans="1:3" x14ac:dyDescent="0.2">
      <c r="A47" s="3">
        <v>2073</v>
      </c>
      <c r="B47">
        <v>0.25060314304204989</v>
      </c>
      <c r="C47">
        <v>9.6965722950404096</v>
      </c>
    </row>
    <row r="48" spans="1:3" x14ac:dyDescent="0.2">
      <c r="A48" s="3">
        <v>2074</v>
      </c>
      <c r="B48">
        <v>0.25060314304204989</v>
      </c>
      <c r="C48">
        <v>9.9471754380824589</v>
      </c>
    </row>
    <row r="49" spans="1:3" x14ac:dyDescent="0.2">
      <c r="A49" s="3">
        <v>2075</v>
      </c>
      <c r="B49">
        <v>0.25060314304204989</v>
      </c>
      <c r="C49">
        <v>10.197778581124508</v>
      </c>
    </row>
    <row r="50" spans="1:3" x14ac:dyDescent="0.2">
      <c r="A50" s="3">
        <v>2076</v>
      </c>
      <c r="B50">
        <v>0.25060314304204989</v>
      </c>
      <c r="C50">
        <v>10.448381724166559</v>
      </c>
    </row>
    <row r="51" spans="1:3" x14ac:dyDescent="0.2">
      <c r="A51" s="3">
        <v>2077</v>
      </c>
      <c r="B51">
        <v>0.25060314304204989</v>
      </c>
      <c r="C51">
        <v>10.698984867208608</v>
      </c>
    </row>
    <row r="52" spans="1:3" x14ac:dyDescent="0.2">
      <c r="A52" s="3">
        <v>2078</v>
      </c>
      <c r="B52">
        <v>0.25060314304204989</v>
      </c>
      <c r="C52">
        <v>10.949588010250658</v>
      </c>
    </row>
    <row r="53" spans="1:3" x14ac:dyDescent="0.2">
      <c r="A53" s="3">
        <v>2079</v>
      </c>
      <c r="B53">
        <v>0.25060314304204989</v>
      </c>
      <c r="C53">
        <v>11.200191153292709</v>
      </c>
    </row>
    <row r="54" spans="1:3" x14ac:dyDescent="0.2">
      <c r="A54" s="3">
        <v>2080</v>
      </c>
      <c r="B54">
        <v>0.25060314304204989</v>
      </c>
      <c r="C54">
        <v>11.450794296334758</v>
      </c>
    </row>
    <row r="55" spans="1:3" x14ac:dyDescent="0.2">
      <c r="A55" s="3">
        <v>2081</v>
      </c>
      <c r="B55">
        <v>0.25060314304204989</v>
      </c>
      <c r="C55">
        <v>11.701397439376807</v>
      </c>
    </row>
    <row r="56" spans="1:3" x14ac:dyDescent="0.2">
      <c r="A56" s="3">
        <v>2082</v>
      </c>
      <c r="B56">
        <v>0.25060314304204989</v>
      </c>
      <c r="C56">
        <v>11.952000582418858</v>
      </c>
    </row>
    <row r="57" spans="1:3" x14ac:dyDescent="0.2">
      <c r="A57" s="3">
        <v>2083</v>
      </c>
      <c r="B57">
        <v>0.25060314304204989</v>
      </c>
      <c r="C57">
        <v>12.202603725460907</v>
      </c>
    </row>
    <row r="58" spans="1:3" x14ac:dyDescent="0.2">
      <c r="A58" s="3">
        <v>2084</v>
      </c>
      <c r="B58">
        <v>0.25060314304204989</v>
      </c>
      <c r="C58">
        <v>12.453206868502956</v>
      </c>
    </row>
    <row r="59" spans="1:3" x14ac:dyDescent="0.2">
      <c r="A59" s="3">
        <v>2085</v>
      </c>
      <c r="B59">
        <v>0.25060314304204989</v>
      </c>
      <c r="C59">
        <v>12.703810011545007</v>
      </c>
    </row>
    <row r="60" spans="1:3" x14ac:dyDescent="0.2">
      <c r="A60" s="3">
        <v>2086</v>
      </c>
      <c r="B60">
        <v>0.25060314304204989</v>
      </c>
      <c r="C60">
        <v>12.954413154587057</v>
      </c>
    </row>
    <row r="61" spans="1:3" x14ac:dyDescent="0.2">
      <c r="A61" s="3">
        <v>2087</v>
      </c>
      <c r="B61">
        <v>0.25060314304204989</v>
      </c>
      <c r="C61">
        <v>13.205016297629106</v>
      </c>
    </row>
    <row r="62" spans="1:3" x14ac:dyDescent="0.2">
      <c r="A62" s="3">
        <v>2088</v>
      </c>
      <c r="B62">
        <v>0.25060314304204989</v>
      </c>
      <c r="C62">
        <v>13.455619440671157</v>
      </c>
    </row>
    <row r="63" spans="1:3" x14ac:dyDescent="0.2">
      <c r="A63" s="3">
        <v>2089</v>
      </c>
      <c r="B63">
        <v>0.25060314304204989</v>
      </c>
      <c r="C63">
        <v>13.706222583713206</v>
      </c>
    </row>
    <row r="64" spans="1:3" x14ac:dyDescent="0.2">
      <c r="A64" s="3">
        <v>2090</v>
      </c>
      <c r="B64">
        <v>0.25060314304204989</v>
      </c>
      <c r="C64">
        <v>13.956825726755257</v>
      </c>
    </row>
    <row r="65" spans="1:3" x14ac:dyDescent="0.2">
      <c r="A65" s="3">
        <v>2091</v>
      </c>
      <c r="B65">
        <v>0.25060314304204989</v>
      </c>
      <c r="C65">
        <v>14.207428869797306</v>
      </c>
    </row>
    <row r="66" spans="1:3" x14ac:dyDescent="0.2">
      <c r="A66" s="3">
        <v>2092</v>
      </c>
      <c r="B66">
        <v>0.25060314304204989</v>
      </c>
      <c r="C66">
        <v>14.458032012839356</v>
      </c>
    </row>
    <row r="67" spans="1:3" x14ac:dyDescent="0.2">
      <c r="A67" s="3">
        <v>2093</v>
      </c>
      <c r="B67">
        <v>0.25060314304204989</v>
      </c>
      <c r="C67">
        <v>14.708635155881407</v>
      </c>
    </row>
    <row r="68" spans="1:3" x14ac:dyDescent="0.2">
      <c r="A68" s="3">
        <v>2094</v>
      </c>
      <c r="B68">
        <v>0.25060314304204989</v>
      </c>
      <c r="C68">
        <v>14.959238298923456</v>
      </c>
    </row>
    <row r="69" spans="1:3" x14ac:dyDescent="0.2">
      <c r="A69" s="3">
        <v>2095</v>
      </c>
      <c r="B69">
        <v>0.25060314304204989</v>
      </c>
      <c r="C69">
        <v>15.209841441965505</v>
      </c>
    </row>
    <row r="70" spans="1:3" x14ac:dyDescent="0.2">
      <c r="A70" s="3">
        <v>2096</v>
      </c>
      <c r="B70">
        <v>0.25060314304204989</v>
      </c>
      <c r="C70">
        <v>15.460444585007556</v>
      </c>
    </row>
    <row r="71" spans="1:3" x14ac:dyDescent="0.2">
      <c r="A71" s="3">
        <v>2097</v>
      </c>
      <c r="B71">
        <v>0.25060314304204989</v>
      </c>
      <c r="C71">
        <v>15.711047728049605</v>
      </c>
    </row>
    <row r="72" spans="1:3" x14ac:dyDescent="0.2">
      <c r="A72" s="3">
        <v>2098</v>
      </c>
      <c r="B72">
        <v>0.25060314304204989</v>
      </c>
      <c r="C72">
        <v>15.961650871091654</v>
      </c>
    </row>
    <row r="73" spans="1:3" x14ac:dyDescent="0.2">
      <c r="A73" s="3">
        <v>2099</v>
      </c>
      <c r="B73">
        <v>0.25060314304204989</v>
      </c>
      <c r="C73">
        <v>16.212254014133705</v>
      </c>
    </row>
    <row r="74" spans="1:3" x14ac:dyDescent="0.2">
      <c r="A74" s="3">
        <v>2100</v>
      </c>
      <c r="B74">
        <v>0.25060314304204989</v>
      </c>
      <c r="C74">
        <v>16.462857157175758</v>
      </c>
    </row>
    <row r="75" spans="1:3" x14ac:dyDescent="0.2">
      <c r="A75" s="3" t="s">
        <v>62</v>
      </c>
      <c r="B75">
        <v>16.46285715717574</v>
      </c>
      <c r="C75">
        <v>550.5625193168845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630D-E2B3-BD44-BAB4-EB96BC3AE7A9}">
  <dimension ref="A1:C72"/>
  <sheetViews>
    <sheetView workbookViewId="0">
      <selection activeCell="C1" sqref="C1"/>
    </sheetView>
  </sheetViews>
  <sheetFormatPr baseColWidth="10" defaultRowHeight="15" x14ac:dyDescent="0.2"/>
  <cols>
    <col min="2" max="2" width="21.6640625" customWidth="1"/>
    <col min="3" max="3" width="17.5" customWidth="1"/>
  </cols>
  <sheetData>
    <row r="1" spans="1:3" x14ac:dyDescent="0.2">
      <c r="A1" t="s">
        <v>64</v>
      </c>
      <c r="B1" t="s">
        <v>70</v>
      </c>
      <c r="C1" t="s">
        <v>72</v>
      </c>
    </row>
    <row r="2" spans="1:3" x14ac:dyDescent="0.2">
      <c r="A2">
        <v>2030</v>
      </c>
      <c r="B2">
        <v>0.05</v>
      </c>
      <c r="C2">
        <v>0.05</v>
      </c>
    </row>
    <row r="3" spans="1:3" x14ac:dyDescent="0.2">
      <c r="A3">
        <v>2031</v>
      </c>
      <c r="B3">
        <v>0.109</v>
      </c>
      <c r="C3">
        <v>5.8999999999999997E-2</v>
      </c>
    </row>
    <row r="4" spans="1:3" x14ac:dyDescent="0.2">
      <c r="A4">
        <v>2032</v>
      </c>
      <c r="B4">
        <v>0.17862</v>
      </c>
      <c r="C4">
        <v>6.9619999999999987E-2</v>
      </c>
    </row>
    <row r="5" spans="1:3" x14ac:dyDescent="0.2">
      <c r="A5">
        <v>2033</v>
      </c>
      <c r="B5">
        <v>0.26077159999999999</v>
      </c>
      <c r="C5">
        <v>8.2151599999999991E-2</v>
      </c>
    </row>
    <row r="6" spans="1:3" x14ac:dyDescent="0.2">
      <c r="A6">
        <v>2034</v>
      </c>
      <c r="B6">
        <v>0.35771048799999994</v>
      </c>
      <c r="C6">
        <v>9.6938887999999973E-2</v>
      </c>
    </row>
    <row r="7" spans="1:3" x14ac:dyDescent="0.2">
      <c r="A7">
        <v>2035</v>
      </c>
      <c r="B7">
        <v>0.47209837583999992</v>
      </c>
      <c r="C7">
        <v>0.11438788783999997</v>
      </c>
    </row>
    <row r="8" spans="1:3" x14ac:dyDescent="0.2">
      <c r="A8">
        <v>2036</v>
      </c>
      <c r="B8">
        <v>0.60707608349119979</v>
      </c>
      <c r="C8">
        <v>0.13497770765119996</v>
      </c>
    </row>
    <row r="9" spans="1:3" x14ac:dyDescent="0.2">
      <c r="A9">
        <v>2037</v>
      </c>
      <c r="B9">
        <v>0.76634977851961572</v>
      </c>
      <c r="C9">
        <v>0.15927369502841596</v>
      </c>
    </row>
    <row r="10" spans="1:3" x14ac:dyDescent="0.2">
      <c r="A10">
        <v>2038</v>
      </c>
      <c r="B10">
        <v>0.95429273865314646</v>
      </c>
      <c r="C10">
        <v>0.18794296013353079</v>
      </c>
    </row>
    <row r="11" spans="1:3" x14ac:dyDescent="0.2">
      <c r="A11">
        <v>2039</v>
      </c>
      <c r="B11">
        <v>1.1760654316107126</v>
      </c>
      <c r="C11">
        <v>0.2217726929575663</v>
      </c>
    </row>
    <row r="12" spans="1:3" x14ac:dyDescent="0.2">
      <c r="A12">
        <v>2040</v>
      </c>
      <c r="B12">
        <v>1.4266685746527625</v>
      </c>
      <c r="C12">
        <v>0.25060314304204989</v>
      </c>
    </row>
    <row r="13" spans="1:3" x14ac:dyDescent="0.2">
      <c r="A13">
        <v>2041</v>
      </c>
      <c r="B13">
        <v>1.6772717176948124</v>
      </c>
      <c r="C13">
        <v>0.25060314304204989</v>
      </c>
    </row>
    <row r="14" spans="1:3" x14ac:dyDescent="0.2">
      <c r="A14">
        <v>2042</v>
      </c>
      <c r="B14">
        <v>1.9278748607368623</v>
      </c>
      <c r="C14">
        <v>0.25060314304204989</v>
      </c>
    </row>
    <row r="15" spans="1:3" x14ac:dyDescent="0.2">
      <c r="A15">
        <v>2043</v>
      </c>
      <c r="B15">
        <v>2.1784780037789124</v>
      </c>
      <c r="C15">
        <v>0.25060314304204989</v>
      </c>
    </row>
    <row r="16" spans="1:3" x14ac:dyDescent="0.2">
      <c r="A16">
        <v>2044</v>
      </c>
      <c r="B16">
        <v>2.4290811468209621</v>
      </c>
      <c r="C16">
        <v>0.25060314304204989</v>
      </c>
    </row>
    <row r="17" spans="1:3" x14ac:dyDescent="0.2">
      <c r="A17">
        <v>2045</v>
      </c>
      <c r="B17">
        <v>2.6796842898630122</v>
      </c>
      <c r="C17">
        <v>0.25060314304204989</v>
      </c>
    </row>
    <row r="18" spans="1:3" x14ac:dyDescent="0.2">
      <c r="A18">
        <v>2046</v>
      </c>
      <c r="B18">
        <v>2.9302874329050619</v>
      </c>
      <c r="C18">
        <v>0.25060314304204989</v>
      </c>
    </row>
    <row r="19" spans="1:3" x14ac:dyDescent="0.2">
      <c r="A19">
        <v>2047</v>
      </c>
      <c r="B19">
        <v>3.1808905759471116</v>
      </c>
      <c r="C19">
        <v>0.25060314304204989</v>
      </c>
    </row>
    <row r="20" spans="1:3" x14ac:dyDescent="0.2">
      <c r="A20">
        <v>2048</v>
      </c>
      <c r="B20">
        <v>3.4314937189891617</v>
      </c>
      <c r="C20">
        <v>0.25060314304204989</v>
      </c>
    </row>
    <row r="21" spans="1:3" x14ac:dyDescent="0.2">
      <c r="A21">
        <v>2049</v>
      </c>
      <c r="B21">
        <v>3.6820968620312113</v>
      </c>
      <c r="C21">
        <v>0.25060314304204989</v>
      </c>
    </row>
    <row r="22" spans="1:3" x14ac:dyDescent="0.2">
      <c r="A22">
        <v>2050</v>
      </c>
      <c r="B22">
        <v>3.9327000050732615</v>
      </c>
      <c r="C22">
        <v>0.25060314304204989</v>
      </c>
    </row>
    <row r="23" spans="1:3" x14ac:dyDescent="0.2">
      <c r="A23">
        <v>2051</v>
      </c>
      <c r="B23">
        <v>4.1833031481153116</v>
      </c>
      <c r="C23">
        <v>0.25060314304204989</v>
      </c>
    </row>
    <row r="24" spans="1:3" x14ac:dyDescent="0.2">
      <c r="A24">
        <v>2052</v>
      </c>
      <c r="B24">
        <v>4.4339062911573608</v>
      </c>
      <c r="C24">
        <v>0.25060314304204989</v>
      </c>
    </row>
    <row r="25" spans="1:3" x14ac:dyDescent="0.2">
      <c r="A25">
        <v>2053</v>
      </c>
      <c r="B25">
        <v>4.6845094341994109</v>
      </c>
      <c r="C25">
        <v>0.25060314304204989</v>
      </c>
    </row>
    <row r="26" spans="1:3" x14ac:dyDescent="0.2">
      <c r="A26">
        <v>2054</v>
      </c>
      <c r="B26">
        <v>4.935112577241461</v>
      </c>
      <c r="C26">
        <v>0.25060314304204989</v>
      </c>
    </row>
    <row r="27" spans="1:3" x14ac:dyDescent="0.2">
      <c r="A27">
        <v>2055</v>
      </c>
      <c r="B27">
        <v>5.1857157202835102</v>
      </c>
      <c r="C27">
        <v>0.25060314304204989</v>
      </c>
    </row>
    <row r="28" spans="1:3" x14ac:dyDescent="0.2">
      <c r="A28">
        <v>2056</v>
      </c>
      <c r="B28">
        <v>5.4363188633255604</v>
      </c>
      <c r="C28">
        <v>0.25060314304204989</v>
      </c>
    </row>
    <row r="29" spans="1:3" x14ac:dyDescent="0.2">
      <c r="A29">
        <v>2057</v>
      </c>
      <c r="B29">
        <v>5.6869220063676105</v>
      </c>
      <c r="C29">
        <v>0.25060314304204989</v>
      </c>
    </row>
    <row r="30" spans="1:3" x14ac:dyDescent="0.2">
      <c r="A30">
        <v>2058</v>
      </c>
      <c r="B30">
        <v>5.9375251494096597</v>
      </c>
      <c r="C30">
        <v>0.25060314304204989</v>
      </c>
    </row>
    <row r="31" spans="1:3" x14ac:dyDescent="0.2">
      <c r="A31">
        <v>2059</v>
      </c>
      <c r="B31">
        <v>6.1881282924517098</v>
      </c>
      <c r="C31">
        <v>0.25060314304204989</v>
      </c>
    </row>
    <row r="32" spans="1:3" x14ac:dyDescent="0.2">
      <c r="A32">
        <v>2060</v>
      </c>
      <c r="B32">
        <v>6.4387314354937599</v>
      </c>
      <c r="C32">
        <v>0.25060314304204989</v>
      </c>
    </row>
    <row r="33" spans="1:3" x14ac:dyDescent="0.2">
      <c r="A33">
        <v>2061</v>
      </c>
      <c r="B33">
        <v>6.68933457853581</v>
      </c>
      <c r="C33">
        <v>0.25060314304204989</v>
      </c>
    </row>
    <row r="34" spans="1:3" x14ac:dyDescent="0.2">
      <c r="A34">
        <v>2062</v>
      </c>
      <c r="B34">
        <v>6.9399377215778593</v>
      </c>
      <c r="C34">
        <v>0.25060314304204989</v>
      </c>
    </row>
    <row r="35" spans="1:3" x14ac:dyDescent="0.2">
      <c r="A35">
        <v>2063</v>
      </c>
      <c r="B35">
        <v>7.1905408646199094</v>
      </c>
      <c r="C35">
        <v>0.25060314304204989</v>
      </c>
    </row>
    <row r="36" spans="1:3" x14ac:dyDescent="0.2">
      <c r="A36">
        <v>2064</v>
      </c>
      <c r="B36">
        <v>7.4411440076619595</v>
      </c>
      <c r="C36">
        <v>0.25060314304204989</v>
      </c>
    </row>
    <row r="37" spans="1:3" x14ac:dyDescent="0.2">
      <c r="A37">
        <v>2065</v>
      </c>
      <c r="B37">
        <v>7.6917471507040087</v>
      </c>
      <c r="C37">
        <v>0.25060314304204989</v>
      </c>
    </row>
    <row r="38" spans="1:3" x14ac:dyDescent="0.2">
      <c r="A38">
        <v>2066</v>
      </c>
      <c r="B38">
        <v>7.9423502937460588</v>
      </c>
      <c r="C38">
        <v>0.25060314304204989</v>
      </c>
    </row>
    <row r="39" spans="1:3" x14ac:dyDescent="0.2">
      <c r="A39">
        <v>2067</v>
      </c>
      <c r="B39">
        <v>8.1929534367881089</v>
      </c>
      <c r="C39">
        <v>0.25060314304204989</v>
      </c>
    </row>
    <row r="40" spans="1:3" x14ac:dyDescent="0.2">
      <c r="A40">
        <v>2068</v>
      </c>
      <c r="B40">
        <v>8.4435565798301599</v>
      </c>
      <c r="C40">
        <v>0.25060314304204989</v>
      </c>
    </row>
    <row r="41" spans="1:3" x14ac:dyDescent="0.2">
      <c r="A41">
        <v>2069</v>
      </c>
      <c r="B41">
        <v>8.6941597228722092</v>
      </c>
      <c r="C41">
        <v>0.25060314304204989</v>
      </c>
    </row>
    <row r="42" spans="1:3" x14ac:dyDescent="0.2">
      <c r="A42">
        <v>2070</v>
      </c>
      <c r="B42">
        <v>8.9447628659142584</v>
      </c>
      <c r="C42">
        <v>0.25060314304204989</v>
      </c>
    </row>
    <row r="43" spans="1:3" x14ac:dyDescent="0.2">
      <c r="A43">
        <v>2071</v>
      </c>
      <c r="B43">
        <v>9.1953660089563094</v>
      </c>
      <c r="C43">
        <v>0.25060314304204989</v>
      </c>
    </row>
    <row r="44" spans="1:3" x14ac:dyDescent="0.2">
      <c r="A44">
        <v>2072</v>
      </c>
      <c r="B44">
        <v>9.4459691519983586</v>
      </c>
      <c r="C44">
        <v>0.25060314304204989</v>
      </c>
    </row>
    <row r="45" spans="1:3" x14ac:dyDescent="0.2">
      <c r="A45">
        <v>2073</v>
      </c>
      <c r="B45">
        <v>9.6965722950404096</v>
      </c>
      <c r="C45">
        <v>0.25060314304204989</v>
      </c>
    </row>
    <row r="46" spans="1:3" x14ac:dyDescent="0.2">
      <c r="A46">
        <v>2074</v>
      </c>
      <c r="B46">
        <v>9.9471754380824589</v>
      </c>
      <c r="C46">
        <v>0.25060314304204989</v>
      </c>
    </row>
    <row r="47" spans="1:3" x14ac:dyDescent="0.2">
      <c r="A47">
        <v>2075</v>
      </c>
      <c r="B47">
        <v>10.197778581124508</v>
      </c>
      <c r="C47">
        <v>0.25060314304204989</v>
      </c>
    </row>
    <row r="48" spans="1:3" x14ac:dyDescent="0.2">
      <c r="A48">
        <v>2076</v>
      </c>
      <c r="B48">
        <v>10.448381724166559</v>
      </c>
      <c r="C48">
        <v>0.25060314304204989</v>
      </c>
    </row>
    <row r="49" spans="1:3" x14ac:dyDescent="0.2">
      <c r="A49">
        <v>2077</v>
      </c>
      <c r="B49">
        <v>10.698984867208608</v>
      </c>
      <c r="C49">
        <v>0.25060314304204989</v>
      </c>
    </row>
    <row r="50" spans="1:3" x14ac:dyDescent="0.2">
      <c r="A50">
        <v>2078</v>
      </c>
      <c r="B50">
        <v>10.949588010250658</v>
      </c>
      <c r="C50">
        <v>0.25060314304204989</v>
      </c>
    </row>
    <row r="51" spans="1:3" x14ac:dyDescent="0.2">
      <c r="A51">
        <v>2079</v>
      </c>
      <c r="B51">
        <v>11.200191153292709</v>
      </c>
      <c r="C51">
        <v>0.25060314304204989</v>
      </c>
    </row>
    <row r="52" spans="1:3" x14ac:dyDescent="0.2">
      <c r="A52">
        <v>2080</v>
      </c>
      <c r="B52">
        <v>11.450794296334758</v>
      </c>
      <c r="C52">
        <v>0.25060314304204989</v>
      </c>
    </row>
    <row r="53" spans="1:3" x14ac:dyDescent="0.2">
      <c r="A53">
        <v>2081</v>
      </c>
      <c r="B53">
        <v>11.701397439376807</v>
      </c>
      <c r="C53">
        <v>0.25060314304204989</v>
      </c>
    </row>
    <row r="54" spans="1:3" x14ac:dyDescent="0.2">
      <c r="A54">
        <v>2082</v>
      </c>
      <c r="B54">
        <v>11.952000582418858</v>
      </c>
      <c r="C54">
        <v>0.25060314304204989</v>
      </c>
    </row>
    <row r="55" spans="1:3" x14ac:dyDescent="0.2">
      <c r="A55">
        <v>2083</v>
      </c>
      <c r="B55">
        <v>12.202603725460907</v>
      </c>
      <c r="C55">
        <v>0.25060314304204989</v>
      </c>
    </row>
    <row r="56" spans="1:3" x14ac:dyDescent="0.2">
      <c r="A56">
        <v>2084</v>
      </c>
      <c r="B56">
        <v>12.453206868502956</v>
      </c>
      <c r="C56">
        <v>0.25060314304204989</v>
      </c>
    </row>
    <row r="57" spans="1:3" x14ac:dyDescent="0.2">
      <c r="A57">
        <v>2085</v>
      </c>
      <c r="B57">
        <v>12.703810011545007</v>
      </c>
      <c r="C57">
        <v>0.25060314304204989</v>
      </c>
    </row>
    <row r="58" spans="1:3" x14ac:dyDescent="0.2">
      <c r="A58">
        <v>2086</v>
      </c>
      <c r="B58">
        <v>12.954413154587057</v>
      </c>
      <c r="C58">
        <v>0.25060314304204989</v>
      </c>
    </row>
    <row r="59" spans="1:3" x14ac:dyDescent="0.2">
      <c r="A59">
        <v>2087</v>
      </c>
      <c r="B59">
        <v>13.205016297629106</v>
      </c>
      <c r="C59">
        <v>0.25060314304204989</v>
      </c>
    </row>
    <row r="60" spans="1:3" x14ac:dyDescent="0.2">
      <c r="A60">
        <v>2088</v>
      </c>
      <c r="B60">
        <v>13.455619440671157</v>
      </c>
      <c r="C60">
        <v>0.25060314304204989</v>
      </c>
    </row>
    <row r="61" spans="1:3" x14ac:dyDescent="0.2">
      <c r="A61">
        <v>2089</v>
      </c>
      <c r="B61">
        <v>13.706222583713206</v>
      </c>
      <c r="C61">
        <v>0.25060314304204989</v>
      </c>
    </row>
    <row r="62" spans="1:3" x14ac:dyDescent="0.2">
      <c r="A62">
        <v>2090</v>
      </c>
      <c r="B62">
        <v>13.956825726755257</v>
      </c>
      <c r="C62">
        <v>0.25060314304204989</v>
      </c>
    </row>
    <row r="63" spans="1:3" x14ac:dyDescent="0.2">
      <c r="A63">
        <v>2091</v>
      </c>
      <c r="B63">
        <v>14.207428869797306</v>
      </c>
      <c r="C63">
        <v>0.25060314304204989</v>
      </c>
    </row>
    <row r="64" spans="1:3" x14ac:dyDescent="0.2">
      <c r="A64">
        <v>2092</v>
      </c>
      <c r="B64">
        <v>14.458032012839356</v>
      </c>
      <c r="C64">
        <v>0.25060314304204989</v>
      </c>
    </row>
    <row r="65" spans="1:3" x14ac:dyDescent="0.2">
      <c r="A65">
        <v>2093</v>
      </c>
      <c r="B65">
        <v>14.708635155881407</v>
      </c>
      <c r="C65">
        <v>0.25060314304204989</v>
      </c>
    </row>
    <row r="66" spans="1:3" x14ac:dyDescent="0.2">
      <c r="A66">
        <v>2094</v>
      </c>
      <c r="B66">
        <v>14.959238298923456</v>
      </c>
      <c r="C66">
        <v>0.25060314304204989</v>
      </c>
    </row>
    <row r="67" spans="1:3" x14ac:dyDescent="0.2">
      <c r="A67">
        <v>2095</v>
      </c>
      <c r="B67">
        <v>15.209841441965505</v>
      </c>
      <c r="C67">
        <v>0.25060314304204989</v>
      </c>
    </row>
    <row r="68" spans="1:3" x14ac:dyDescent="0.2">
      <c r="A68">
        <v>2096</v>
      </c>
      <c r="B68">
        <v>15.460444585007556</v>
      </c>
      <c r="C68">
        <v>0.25060314304204989</v>
      </c>
    </row>
    <row r="69" spans="1:3" x14ac:dyDescent="0.2">
      <c r="A69">
        <v>2097</v>
      </c>
      <c r="B69">
        <v>15.711047728049605</v>
      </c>
      <c r="C69">
        <v>0.25060314304204989</v>
      </c>
    </row>
    <row r="70" spans="1:3" x14ac:dyDescent="0.2">
      <c r="A70">
        <v>2098</v>
      </c>
      <c r="B70">
        <v>15.961650871091654</v>
      </c>
      <c r="C70">
        <v>0.25060314304204989</v>
      </c>
    </row>
    <row r="71" spans="1:3" x14ac:dyDescent="0.2">
      <c r="A71">
        <v>2099</v>
      </c>
      <c r="B71">
        <v>16.212254014133705</v>
      </c>
      <c r="C71">
        <v>0.25060314304204989</v>
      </c>
    </row>
    <row r="72" spans="1:3" x14ac:dyDescent="0.2">
      <c r="A72">
        <v>2100</v>
      </c>
      <c r="B72">
        <v>16.462857157175758</v>
      </c>
      <c r="C72">
        <v>0.25060314304204989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D359-935F-2345-84FB-8C51F5E3F262}">
  <dimension ref="A1"/>
  <sheetViews>
    <sheetView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FF99-8B0D-A247-8734-5AD12514CA14}">
  <dimension ref="A1:F72"/>
  <sheetViews>
    <sheetView workbookViewId="0">
      <selection activeCell="B5" sqref="B5"/>
    </sheetView>
  </sheetViews>
  <sheetFormatPr baseColWidth="10" defaultRowHeight="15" x14ac:dyDescent="0.2"/>
  <cols>
    <col min="2" max="2" width="18.6640625" customWidth="1"/>
    <col min="3" max="3" width="13.83203125" customWidth="1"/>
    <col min="4" max="4" width="14.5" customWidth="1"/>
    <col min="5" max="5" width="15.5" customWidth="1"/>
  </cols>
  <sheetData>
    <row r="1" spans="1:6" x14ac:dyDescent="0.2">
      <c r="A1" s="5" t="s">
        <v>64</v>
      </c>
      <c r="B1" s="5" t="s">
        <v>68</v>
      </c>
      <c r="C1" s="5" t="s">
        <v>66</v>
      </c>
      <c r="D1" s="5" t="s">
        <v>67</v>
      </c>
      <c r="E1" s="5" t="s">
        <v>69</v>
      </c>
      <c r="F1" s="5" t="s">
        <v>75</v>
      </c>
    </row>
    <row r="2" spans="1:6" x14ac:dyDescent="0.2">
      <c r="A2" s="5">
        <v>2030</v>
      </c>
      <c r="B2" s="5">
        <v>50</v>
      </c>
      <c r="C2" s="5">
        <f>0+B2</f>
        <v>50</v>
      </c>
      <c r="D2" s="5">
        <f>C2/1000</f>
        <v>0.05</v>
      </c>
      <c r="E2">
        <f>B2/1000</f>
        <v>0.05</v>
      </c>
      <c r="F2" s="5"/>
    </row>
    <row r="3" spans="1:6" x14ac:dyDescent="0.2">
      <c r="A3" s="5">
        <v>2031</v>
      </c>
      <c r="B3" s="5">
        <v>59</v>
      </c>
      <c r="C3" s="5">
        <f>C2+B3</f>
        <v>109</v>
      </c>
      <c r="D3" s="5">
        <f t="shared" ref="D3:D66" si="0">C3/1000</f>
        <v>0.109</v>
      </c>
      <c r="E3">
        <f t="shared" ref="E3:E66" si="1">B3/1000</f>
        <v>5.8999999999999997E-2</v>
      </c>
      <c r="F3" s="5"/>
    </row>
    <row r="4" spans="1:6" x14ac:dyDescent="0.2">
      <c r="A4" s="5">
        <v>2032</v>
      </c>
      <c r="B4" s="5">
        <v>69.62</v>
      </c>
      <c r="C4" s="5">
        <f t="shared" ref="C4:C67" si="2">C3+B4</f>
        <v>178.62</v>
      </c>
      <c r="D4" s="5">
        <f t="shared" si="0"/>
        <v>0.17862</v>
      </c>
      <c r="E4">
        <f t="shared" si="1"/>
        <v>6.9620000000000001E-2</v>
      </c>
      <c r="F4" s="5"/>
    </row>
    <row r="5" spans="1:6" x14ac:dyDescent="0.2">
      <c r="A5" s="5">
        <v>2033</v>
      </c>
      <c r="B5" s="5">
        <v>82.151600000000002</v>
      </c>
      <c r="C5" s="5">
        <f t="shared" si="2"/>
        <v>260.77160000000003</v>
      </c>
      <c r="D5" s="5">
        <f t="shared" si="0"/>
        <v>0.26077160000000005</v>
      </c>
      <c r="E5">
        <f t="shared" si="1"/>
        <v>8.2151600000000005E-2</v>
      </c>
      <c r="F5" s="5"/>
    </row>
    <row r="6" spans="1:6" x14ac:dyDescent="0.2">
      <c r="A6" s="5">
        <v>2034</v>
      </c>
      <c r="B6" s="5">
        <v>96.938888000000006</v>
      </c>
      <c r="C6" s="5">
        <f t="shared" si="2"/>
        <v>357.71048800000005</v>
      </c>
      <c r="D6" s="5">
        <f t="shared" si="0"/>
        <v>0.35771048800000005</v>
      </c>
      <c r="E6">
        <f t="shared" si="1"/>
        <v>9.6938888000000001E-2</v>
      </c>
      <c r="F6" s="5"/>
    </row>
    <row r="7" spans="1:6" x14ac:dyDescent="0.2">
      <c r="A7" s="5">
        <v>2035</v>
      </c>
      <c r="B7" s="5">
        <v>114.387888</v>
      </c>
      <c r="C7" s="5">
        <f t="shared" si="2"/>
        <v>472.09837600000003</v>
      </c>
      <c r="D7" s="5">
        <f t="shared" si="0"/>
        <v>0.47209837600000004</v>
      </c>
      <c r="E7">
        <f t="shared" si="1"/>
        <v>0.11438788800000001</v>
      </c>
      <c r="F7" s="5"/>
    </row>
    <row r="8" spans="1:6" x14ac:dyDescent="0.2">
      <c r="A8" s="5">
        <v>2036</v>
      </c>
      <c r="B8" s="5">
        <v>134.97770800000001</v>
      </c>
      <c r="C8" s="5">
        <f t="shared" si="2"/>
        <v>607.07608400000004</v>
      </c>
      <c r="D8" s="5">
        <f t="shared" si="0"/>
        <v>0.60707608400000002</v>
      </c>
      <c r="E8">
        <f t="shared" si="1"/>
        <v>0.134977708</v>
      </c>
      <c r="F8" s="5"/>
    </row>
    <row r="9" spans="1:6" x14ac:dyDescent="0.2">
      <c r="A9" s="5">
        <v>2037</v>
      </c>
      <c r="B9" s="5">
        <v>159.273695</v>
      </c>
      <c r="C9" s="5">
        <f t="shared" si="2"/>
        <v>766.34977900000001</v>
      </c>
      <c r="D9" s="5">
        <f t="shared" si="0"/>
        <v>0.76634977900000001</v>
      </c>
      <c r="E9">
        <f t="shared" si="1"/>
        <v>0.15927369499999999</v>
      </c>
      <c r="F9" s="5"/>
    </row>
    <row r="10" spans="1:6" x14ac:dyDescent="0.2">
      <c r="A10" s="5">
        <v>2038</v>
      </c>
      <c r="B10" s="5">
        <v>187.94296</v>
      </c>
      <c r="C10" s="5">
        <f t="shared" si="2"/>
        <v>954.29273899999998</v>
      </c>
      <c r="D10" s="5">
        <f t="shared" si="0"/>
        <v>0.954292739</v>
      </c>
      <c r="E10">
        <f t="shared" si="1"/>
        <v>0.18794295999999999</v>
      </c>
      <c r="F10" s="5"/>
    </row>
    <row r="11" spans="1:6" x14ac:dyDescent="0.2">
      <c r="A11" s="5">
        <v>2039</v>
      </c>
      <c r="B11" s="5">
        <v>221.772693</v>
      </c>
      <c r="C11" s="5">
        <f t="shared" si="2"/>
        <v>1176.0654319999999</v>
      </c>
      <c r="D11" s="5">
        <f t="shared" si="0"/>
        <v>1.1760654319999999</v>
      </c>
      <c r="E11">
        <f t="shared" si="1"/>
        <v>0.22177269299999999</v>
      </c>
      <c r="F11" s="5"/>
    </row>
    <row r="12" spans="1:6" x14ac:dyDescent="0.2">
      <c r="A12" s="5">
        <v>2040</v>
      </c>
      <c r="B12" s="5">
        <v>250.60314299999999</v>
      </c>
      <c r="C12" s="5">
        <f t="shared" si="2"/>
        <v>1426.6685749999999</v>
      </c>
      <c r="D12" s="5">
        <f t="shared" si="0"/>
        <v>1.4266685749999999</v>
      </c>
      <c r="E12">
        <f t="shared" si="1"/>
        <v>0.25060314299999997</v>
      </c>
      <c r="F12" s="5"/>
    </row>
    <row r="13" spans="1:6" x14ac:dyDescent="0.2">
      <c r="A13" s="5">
        <v>2041</v>
      </c>
      <c r="B13" s="5">
        <v>250.60314299999999</v>
      </c>
      <c r="C13" s="5">
        <f t="shared" si="2"/>
        <v>1677.271718</v>
      </c>
      <c r="D13" s="5">
        <f t="shared" si="0"/>
        <v>1.6772717179999999</v>
      </c>
      <c r="E13">
        <f t="shared" si="1"/>
        <v>0.25060314299999997</v>
      </c>
      <c r="F13" s="5"/>
    </row>
    <row r="14" spans="1:6" x14ac:dyDescent="0.2">
      <c r="A14" s="5">
        <v>2042</v>
      </c>
      <c r="B14" s="5">
        <v>250.60314299999999</v>
      </c>
      <c r="C14" s="5">
        <f t="shared" si="2"/>
        <v>1927.874861</v>
      </c>
      <c r="D14" s="5">
        <f t="shared" si="0"/>
        <v>1.9278748610000001</v>
      </c>
      <c r="E14">
        <f t="shared" si="1"/>
        <v>0.25060314299999997</v>
      </c>
      <c r="F14" s="5"/>
    </row>
    <row r="15" spans="1:6" x14ac:dyDescent="0.2">
      <c r="A15" s="5">
        <v>2043</v>
      </c>
      <c r="B15" s="5">
        <v>250.60314299999999</v>
      </c>
      <c r="C15" s="5">
        <f t="shared" si="2"/>
        <v>2178.4780040000001</v>
      </c>
      <c r="D15" s="5">
        <f t="shared" si="0"/>
        <v>2.178478004</v>
      </c>
      <c r="E15">
        <f t="shared" si="1"/>
        <v>0.25060314299999997</v>
      </c>
      <c r="F15" s="5"/>
    </row>
    <row r="16" spans="1:6" x14ac:dyDescent="0.2">
      <c r="A16" s="5">
        <v>2044</v>
      </c>
      <c r="B16" s="5">
        <v>250.60314299999999</v>
      </c>
      <c r="C16" s="5">
        <f t="shared" si="2"/>
        <v>2429.0811469999999</v>
      </c>
      <c r="D16" s="5">
        <f t="shared" si="0"/>
        <v>2.4290811469999998</v>
      </c>
      <c r="E16">
        <f t="shared" si="1"/>
        <v>0.25060314299999997</v>
      </c>
      <c r="F16" s="5"/>
    </row>
    <row r="17" spans="1:6" x14ac:dyDescent="0.2">
      <c r="A17" s="5">
        <v>2045</v>
      </c>
      <c r="B17" s="5">
        <v>250.60314299999999</v>
      </c>
      <c r="C17" s="5">
        <f t="shared" si="2"/>
        <v>2679.6842899999997</v>
      </c>
      <c r="D17" s="5">
        <f t="shared" si="0"/>
        <v>2.6796842899999995</v>
      </c>
      <c r="E17">
        <f t="shared" si="1"/>
        <v>0.25060314299999997</v>
      </c>
      <c r="F17" s="5"/>
    </row>
    <row r="18" spans="1:6" x14ac:dyDescent="0.2">
      <c r="A18" s="5">
        <v>2046</v>
      </c>
      <c r="B18" s="5">
        <v>250.60314299999999</v>
      </c>
      <c r="C18" s="5">
        <f t="shared" si="2"/>
        <v>2930.2874329999995</v>
      </c>
      <c r="D18" s="5">
        <f t="shared" si="0"/>
        <v>2.9302874329999997</v>
      </c>
      <c r="E18">
        <f t="shared" si="1"/>
        <v>0.25060314299999997</v>
      </c>
      <c r="F18" s="5"/>
    </row>
    <row r="19" spans="1:6" x14ac:dyDescent="0.2">
      <c r="A19" s="5">
        <v>2047</v>
      </c>
      <c r="B19" s="5">
        <v>250.60314299999999</v>
      </c>
      <c r="C19" s="5">
        <f t="shared" si="2"/>
        <v>3180.8905759999993</v>
      </c>
      <c r="D19" s="5">
        <f t="shared" si="0"/>
        <v>3.1808905759999995</v>
      </c>
      <c r="E19">
        <f t="shared" si="1"/>
        <v>0.25060314299999997</v>
      </c>
      <c r="F19" s="5"/>
    </row>
    <row r="20" spans="1:6" x14ac:dyDescent="0.2">
      <c r="A20" s="5">
        <v>2048</v>
      </c>
      <c r="B20" s="5">
        <v>250.60314299999999</v>
      </c>
      <c r="C20" s="5">
        <f t="shared" si="2"/>
        <v>3431.4937189999991</v>
      </c>
      <c r="D20" s="5">
        <f t="shared" si="0"/>
        <v>3.4314937189999992</v>
      </c>
      <c r="E20">
        <f t="shared" si="1"/>
        <v>0.25060314299999997</v>
      </c>
      <c r="F20" s="5"/>
    </row>
    <row r="21" spans="1:6" x14ac:dyDescent="0.2">
      <c r="A21" s="5">
        <v>2049</v>
      </c>
      <c r="B21" s="5">
        <v>250.60314299999999</v>
      </c>
      <c r="C21" s="5">
        <f t="shared" si="2"/>
        <v>3682.096861999999</v>
      </c>
      <c r="D21" s="5">
        <f t="shared" si="0"/>
        <v>3.682096861999999</v>
      </c>
      <c r="E21">
        <f t="shared" si="1"/>
        <v>0.25060314299999997</v>
      </c>
      <c r="F21" s="5"/>
    </row>
    <row r="22" spans="1:6" x14ac:dyDescent="0.2">
      <c r="A22" s="5">
        <v>2050</v>
      </c>
      <c r="B22" s="5">
        <f>B21*1.05</f>
        <v>263.13330015000003</v>
      </c>
      <c r="C22" s="5">
        <f t="shared" si="2"/>
        <v>3945.2301621499992</v>
      </c>
      <c r="D22" s="5">
        <f t="shared" si="0"/>
        <v>3.9452301621499992</v>
      </c>
      <c r="E22">
        <f t="shared" si="1"/>
        <v>0.26313330015000003</v>
      </c>
      <c r="F22" s="5"/>
    </row>
    <row r="23" spans="1:6" x14ac:dyDescent="0.2">
      <c r="A23" s="5">
        <v>2051</v>
      </c>
      <c r="B23" s="5">
        <f t="shared" ref="B23:B72" si="3">B22*1.05</f>
        <v>276.28996515750003</v>
      </c>
      <c r="C23" s="5">
        <f t="shared" si="2"/>
        <v>4221.520127307499</v>
      </c>
      <c r="D23" s="5">
        <f t="shared" si="0"/>
        <v>4.2215201273074987</v>
      </c>
      <c r="E23">
        <f t="shared" si="1"/>
        <v>0.27628996515750004</v>
      </c>
      <c r="F23" s="5"/>
    </row>
    <row r="24" spans="1:6" x14ac:dyDescent="0.2">
      <c r="A24" s="5">
        <v>2052</v>
      </c>
      <c r="B24" s="5">
        <f t="shared" si="3"/>
        <v>290.10446341537505</v>
      </c>
      <c r="C24" s="5">
        <f t="shared" si="2"/>
        <v>4511.624590722874</v>
      </c>
      <c r="D24" s="5">
        <f t="shared" si="0"/>
        <v>4.5116245907228736</v>
      </c>
      <c r="E24">
        <f t="shared" si="1"/>
        <v>0.29010446341537505</v>
      </c>
      <c r="F24" s="5"/>
    </row>
    <row r="25" spans="1:6" x14ac:dyDescent="0.2">
      <c r="A25" s="5">
        <v>2053</v>
      </c>
      <c r="B25" s="5">
        <f t="shared" si="3"/>
        <v>304.60968658614382</v>
      </c>
      <c r="C25" s="5">
        <f t="shared" si="2"/>
        <v>4816.2342773090177</v>
      </c>
      <c r="D25" s="5">
        <f t="shared" si="0"/>
        <v>4.8162342773090181</v>
      </c>
      <c r="E25">
        <f t="shared" si="1"/>
        <v>0.30460968658614385</v>
      </c>
      <c r="F25" s="5"/>
    </row>
    <row r="26" spans="1:6" x14ac:dyDescent="0.2">
      <c r="A26" s="5">
        <v>2054</v>
      </c>
      <c r="B26" s="5">
        <f t="shared" si="3"/>
        <v>319.84017091545104</v>
      </c>
      <c r="C26" s="5">
        <f t="shared" si="2"/>
        <v>5136.0744482244691</v>
      </c>
      <c r="D26" s="5">
        <f t="shared" si="0"/>
        <v>5.1360744482244689</v>
      </c>
      <c r="E26">
        <f t="shared" si="1"/>
        <v>0.31984017091545103</v>
      </c>
      <c r="F26" s="5"/>
    </row>
    <row r="27" spans="1:6" x14ac:dyDescent="0.2">
      <c r="A27" s="5">
        <v>2055</v>
      </c>
      <c r="B27" s="5">
        <f t="shared" si="3"/>
        <v>335.83217946122363</v>
      </c>
      <c r="C27" s="5">
        <f t="shared" si="2"/>
        <v>5471.9066276856929</v>
      </c>
      <c r="D27" s="5">
        <f t="shared" si="0"/>
        <v>5.4719066276856925</v>
      </c>
      <c r="E27">
        <f t="shared" si="1"/>
        <v>0.33583217946122362</v>
      </c>
      <c r="F27" s="5"/>
    </row>
    <row r="28" spans="1:6" x14ac:dyDescent="0.2">
      <c r="A28" s="5">
        <v>2056</v>
      </c>
      <c r="B28" s="5">
        <f t="shared" si="3"/>
        <v>352.62378843428485</v>
      </c>
      <c r="C28" s="5">
        <f t="shared" si="2"/>
        <v>5824.5304161199774</v>
      </c>
      <c r="D28" s="5">
        <f t="shared" si="0"/>
        <v>5.8245304161199778</v>
      </c>
      <c r="E28">
        <f t="shared" si="1"/>
        <v>0.35262378843428482</v>
      </c>
      <c r="F28" s="5"/>
    </row>
    <row r="29" spans="1:6" x14ac:dyDescent="0.2">
      <c r="A29" s="5">
        <v>2057</v>
      </c>
      <c r="B29" s="5">
        <f t="shared" si="3"/>
        <v>370.25497785599913</v>
      </c>
      <c r="C29" s="5">
        <f t="shared" si="2"/>
        <v>6194.7853939759761</v>
      </c>
      <c r="D29" s="5">
        <f t="shared" si="0"/>
        <v>6.1947853939759758</v>
      </c>
      <c r="E29">
        <f t="shared" si="1"/>
        <v>0.37025497785599915</v>
      </c>
      <c r="F29" s="5"/>
    </row>
    <row r="30" spans="1:6" x14ac:dyDescent="0.2">
      <c r="A30" s="5">
        <v>2058</v>
      </c>
      <c r="B30" s="5">
        <f t="shared" si="3"/>
        <v>388.76772674879908</v>
      </c>
      <c r="C30" s="5">
        <f t="shared" si="2"/>
        <v>6583.553120724775</v>
      </c>
      <c r="D30" s="5">
        <f t="shared" si="0"/>
        <v>6.5835531207247753</v>
      </c>
      <c r="E30">
        <f t="shared" si="1"/>
        <v>0.38876772674879906</v>
      </c>
      <c r="F30" s="5"/>
    </row>
    <row r="31" spans="1:6" x14ac:dyDescent="0.2">
      <c r="A31" s="5">
        <v>2059</v>
      </c>
      <c r="B31" s="5">
        <f t="shared" si="3"/>
        <v>408.20611308623904</v>
      </c>
      <c r="C31" s="5">
        <f t="shared" si="2"/>
        <v>6991.7592338110144</v>
      </c>
      <c r="D31" s="5">
        <f t="shared" si="0"/>
        <v>6.9917592338110142</v>
      </c>
      <c r="E31">
        <f t="shared" si="1"/>
        <v>0.40820611308623905</v>
      </c>
      <c r="F31" s="5"/>
    </row>
    <row r="32" spans="1:6" x14ac:dyDescent="0.2">
      <c r="A32" s="5">
        <v>2060</v>
      </c>
      <c r="B32" s="5">
        <f t="shared" si="3"/>
        <v>428.61641874055101</v>
      </c>
      <c r="C32" s="5">
        <f t="shared" si="2"/>
        <v>7420.3756525515655</v>
      </c>
      <c r="D32" s="5">
        <f t="shared" si="0"/>
        <v>7.4203756525515656</v>
      </c>
      <c r="E32">
        <f t="shared" si="1"/>
        <v>0.42861641874055101</v>
      </c>
      <c r="F32" s="5"/>
    </row>
    <row r="33" spans="1:6" x14ac:dyDescent="0.2">
      <c r="A33" s="5">
        <v>2061</v>
      </c>
      <c r="B33" s="5">
        <f t="shared" si="3"/>
        <v>450.0472396775786</v>
      </c>
      <c r="C33" s="5">
        <f t="shared" si="2"/>
        <v>7870.4228922291441</v>
      </c>
      <c r="D33" s="5">
        <f t="shared" si="0"/>
        <v>7.8704228922291444</v>
      </c>
      <c r="E33">
        <f t="shared" si="1"/>
        <v>0.45004723967757859</v>
      </c>
      <c r="F33" s="5"/>
    </row>
    <row r="34" spans="1:6" x14ac:dyDescent="0.2">
      <c r="A34" s="5">
        <v>2062</v>
      </c>
      <c r="B34" s="5">
        <f t="shared" si="3"/>
        <v>472.54960166145753</v>
      </c>
      <c r="C34" s="5">
        <f t="shared" si="2"/>
        <v>8342.972493890602</v>
      </c>
      <c r="D34" s="5">
        <f t="shared" si="0"/>
        <v>8.3429724938906027</v>
      </c>
      <c r="E34">
        <f t="shared" si="1"/>
        <v>0.47254960166145754</v>
      </c>
      <c r="F34" s="5"/>
    </row>
    <row r="35" spans="1:6" x14ac:dyDescent="0.2">
      <c r="A35" s="5">
        <v>2063</v>
      </c>
      <c r="B35" s="5">
        <f t="shared" si="3"/>
        <v>496.17708174453043</v>
      </c>
      <c r="C35" s="5">
        <f t="shared" si="2"/>
        <v>8839.1495756351324</v>
      </c>
      <c r="D35" s="5">
        <f t="shared" si="0"/>
        <v>8.8391495756351315</v>
      </c>
      <c r="E35">
        <f t="shared" si="1"/>
        <v>0.4961770817445304</v>
      </c>
      <c r="F35" s="5"/>
    </row>
    <row r="36" spans="1:6" x14ac:dyDescent="0.2">
      <c r="A36" s="5">
        <v>2064</v>
      </c>
      <c r="B36" s="5">
        <f t="shared" si="3"/>
        <v>520.98593583175693</v>
      </c>
      <c r="C36" s="5">
        <f t="shared" si="2"/>
        <v>9360.1355114668895</v>
      </c>
      <c r="D36" s="5">
        <f t="shared" si="0"/>
        <v>9.3601355114668898</v>
      </c>
      <c r="E36">
        <f t="shared" si="1"/>
        <v>0.5209859358317569</v>
      </c>
      <c r="F36" s="5"/>
    </row>
    <row r="37" spans="1:6" x14ac:dyDescent="0.2">
      <c r="A37" s="5">
        <v>2065</v>
      </c>
      <c r="B37" s="5">
        <f t="shared" si="3"/>
        <v>547.03523262334477</v>
      </c>
      <c r="C37" s="5">
        <f t="shared" si="2"/>
        <v>9907.1707440902337</v>
      </c>
      <c r="D37" s="5">
        <f t="shared" si="0"/>
        <v>9.9071707440902337</v>
      </c>
      <c r="E37">
        <f t="shared" si="1"/>
        <v>0.54703523262334475</v>
      </c>
      <c r="F37" s="5"/>
    </row>
    <row r="38" spans="1:6" x14ac:dyDescent="0.2">
      <c r="A38" s="5">
        <v>2066</v>
      </c>
      <c r="B38" s="5">
        <f t="shared" si="3"/>
        <v>574.38699425451205</v>
      </c>
      <c r="C38" s="5">
        <f t="shared" si="2"/>
        <v>10481.557738344745</v>
      </c>
      <c r="D38" s="5">
        <f t="shared" si="0"/>
        <v>10.481557738344746</v>
      </c>
      <c r="E38">
        <f t="shared" si="1"/>
        <v>0.57438699425451201</v>
      </c>
      <c r="F38" s="5"/>
    </row>
    <row r="39" spans="1:6" x14ac:dyDescent="0.2">
      <c r="A39" s="5">
        <v>2067</v>
      </c>
      <c r="B39" s="5">
        <f t="shared" si="3"/>
        <v>603.10634396723765</v>
      </c>
      <c r="C39" s="5">
        <f t="shared" si="2"/>
        <v>11084.664082311983</v>
      </c>
      <c r="D39" s="5">
        <f t="shared" si="0"/>
        <v>11.084664082311983</v>
      </c>
      <c r="E39">
        <f t="shared" si="1"/>
        <v>0.60310634396723761</v>
      </c>
      <c r="F39" s="5"/>
    </row>
    <row r="40" spans="1:6" x14ac:dyDescent="0.2">
      <c r="A40" s="5">
        <v>2068</v>
      </c>
      <c r="B40" s="5">
        <f t="shared" si="3"/>
        <v>633.26166116559955</v>
      </c>
      <c r="C40" s="5">
        <f t="shared" si="2"/>
        <v>11717.925743477583</v>
      </c>
      <c r="D40" s="5">
        <f t="shared" si="0"/>
        <v>11.717925743477583</v>
      </c>
      <c r="E40">
        <f t="shared" si="1"/>
        <v>0.63326166116559957</v>
      </c>
      <c r="F40" s="5"/>
    </row>
    <row r="41" spans="1:6" x14ac:dyDescent="0.2">
      <c r="A41" s="5">
        <v>2069</v>
      </c>
      <c r="B41" s="5">
        <f t="shared" si="3"/>
        <v>664.92474422387954</v>
      </c>
      <c r="C41" s="5">
        <f t="shared" si="2"/>
        <v>12382.850487701462</v>
      </c>
      <c r="D41" s="5">
        <f t="shared" si="0"/>
        <v>12.382850487701463</v>
      </c>
      <c r="E41">
        <f t="shared" si="1"/>
        <v>0.66492474422387959</v>
      </c>
      <c r="F41" s="5"/>
    </row>
    <row r="42" spans="1:6" x14ac:dyDescent="0.2">
      <c r="A42" s="5">
        <v>2070</v>
      </c>
      <c r="B42" s="5">
        <f t="shared" si="3"/>
        <v>698.1709814350736</v>
      </c>
      <c r="C42" s="5">
        <f t="shared" si="2"/>
        <v>13081.021469136536</v>
      </c>
      <c r="D42" s="5">
        <f t="shared" si="0"/>
        <v>13.081021469136536</v>
      </c>
      <c r="E42">
        <f t="shared" si="1"/>
        <v>0.69817098143507361</v>
      </c>
      <c r="F42" s="5"/>
    </row>
    <row r="43" spans="1:6" x14ac:dyDescent="0.2">
      <c r="A43" s="5">
        <v>2071</v>
      </c>
      <c r="B43" s="5">
        <f t="shared" si="3"/>
        <v>733.07953050682727</v>
      </c>
      <c r="C43" s="5">
        <f t="shared" si="2"/>
        <v>13814.100999643364</v>
      </c>
      <c r="D43" s="5">
        <f t="shared" si="0"/>
        <v>13.814100999643363</v>
      </c>
      <c r="E43">
        <f t="shared" si="1"/>
        <v>0.73307953050682728</v>
      </c>
      <c r="F43" s="5"/>
    </row>
    <row r="44" spans="1:6" x14ac:dyDescent="0.2">
      <c r="A44" s="5">
        <v>2072</v>
      </c>
      <c r="B44" s="5">
        <f t="shared" si="3"/>
        <v>769.73350703216863</v>
      </c>
      <c r="C44" s="5">
        <f t="shared" si="2"/>
        <v>14583.834506675532</v>
      </c>
      <c r="D44" s="5">
        <f t="shared" si="0"/>
        <v>14.583834506675531</v>
      </c>
      <c r="E44">
        <f t="shared" si="1"/>
        <v>0.76973350703216858</v>
      </c>
      <c r="F44" s="5"/>
    </row>
    <row r="45" spans="1:6" x14ac:dyDescent="0.2">
      <c r="A45" s="5">
        <v>2073</v>
      </c>
      <c r="B45" s="5">
        <f t="shared" si="3"/>
        <v>808.22018238377711</v>
      </c>
      <c r="C45" s="5">
        <f t="shared" si="2"/>
        <v>15392.054689059309</v>
      </c>
      <c r="D45" s="5">
        <f t="shared" si="0"/>
        <v>15.392054689059309</v>
      </c>
      <c r="E45">
        <f t="shared" si="1"/>
        <v>0.80822018238377713</v>
      </c>
      <c r="F45" s="5"/>
    </row>
    <row r="46" spans="1:6" x14ac:dyDescent="0.2">
      <c r="A46" s="5">
        <v>2074</v>
      </c>
      <c r="B46" s="5">
        <f t="shared" si="3"/>
        <v>848.63119150296598</v>
      </c>
      <c r="C46" s="5">
        <f t="shared" si="2"/>
        <v>16240.685880562274</v>
      </c>
      <c r="D46" s="5">
        <f t="shared" si="0"/>
        <v>16.240685880562275</v>
      </c>
      <c r="E46">
        <f t="shared" si="1"/>
        <v>0.84863119150296595</v>
      </c>
      <c r="F46" s="5"/>
    </row>
    <row r="47" spans="1:6" x14ac:dyDescent="0.2">
      <c r="A47" s="5">
        <v>2075</v>
      </c>
      <c r="B47" s="5">
        <f t="shared" si="3"/>
        <v>891.06275107811427</v>
      </c>
      <c r="C47" s="5">
        <f t="shared" si="2"/>
        <v>17131.748631640388</v>
      </c>
      <c r="D47" s="5">
        <f t="shared" si="0"/>
        <v>17.131748631640388</v>
      </c>
      <c r="E47">
        <f t="shared" si="1"/>
        <v>0.89106275107811428</v>
      </c>
      <c r="F47" s="5"/>
    </row>
    <row r="48" spans="1:6" x14ac:dyDescent="0.2">
      <c r="A48" s="5">
        <v>2076</v>
      </c>
      <c r="B48" s="5">
        <f t="shared" si="3"/>
        <v>935.61588863202007</v>
      </c>
      <c r="C48" s="5">
        <f t="shared" si="2"/>
        <v>18067.364520272407</v>
      </c>
      <c r="D48" s="5">
        <f t="shared" si="0"/>
        <v>18.067364520272406</v>
      </c>
      <c r="E48">
        <f t="shared" si="1"/>
        <v>0.93561588863202005</v>
      </c>
      <c r="F48" s="5"/>
    </row>
    <row r="49" spans="1:6" x14ac:dyDescent="0.2">
      <c r="A49" s="5">
        <v>2077</v>
      </c>
      <c r="B49" s="5">
        <f t="shared" si="3"/>
        <v>982.39668306362114</v>
      </c>
      <c r="C49" s="5">
        <f t="shared" si="2"/>
        <v>19049.761203336027</v>
      </c>
      <c r="D49" s="5">
        <f t="shared" si="0"/>
        <v>19.049761203336029</v>
      </c>
      <c r="E49">
        <f t="shared" si="1"/>
        <v>0.98239668306362116</v>
      </c>
      <c r="F49" s="5"/>
    </row>
    <row r="50" spans="1:6" x14ac:dyDescent="0.2">
      <c r="A50" s="5">
        <v>2078</v>
      </c>
      <c r="B50" s="5">
        <f t="shared" si="3"/>
        <v>1031.5165172168022</v>
      </c>
      <c r="C50" s="5">
        <f t="shared" si="2"/>
        <v>20081.277720552829</v>
      </c>
      <c r="D50" s="5">
        <f t="shared" si="0"/>
        <v>20.08127772055283</v>
      </c>
      <c r="E50">
        <f t="shared" si="1"/>
        <v>1.0315165172168022</v>
      </c>
      <c r="F50" s="5" t="s">
        <v>74</v>
      </c>
    </row>
    <row r="51" spans="1:6" x14ac:dyDescent="0.2">
      <c r="A51" s="5">
        <v>2079</v>
      </c>
      <c r="B51" s="5">
        <v>1031.5165172168022</v>
      </c>
      <c r="C51" s="5">
        <f t="shared" si="2"/>
        <v>21112.794237769631</v>
      </c>
      <c r="D51" s="5">
        <f t="shared" si="0"/>
        <v>21.112794237769631</v>
      </c>
      <c r="E51">
        <f t="shared" si="1"/>
        <v>1.0315165172168022</v>
      </c>
      <c r="F51" s="5"/>
    </row>
    <row r="52" spans="1:6" x14ac:dyDescent="0.2">
      <c r="A52" s="5">
        <v>2080</v>
      </c>
      <c r="B52" s="5">
        <f t="shared" si="3"/>
        <v>1083.0923430776425</v>
      </c>
      <c r="C52" s="5">
        <f t="shared" si="2"/>
        <v>22195.886580847273</v>
      </c>
      <c r="D52" s="5">
        <f t="shared" si="0"/>
        <v>22.195886580847272</v>
      </c>
      <c r="E52">
        <f t="shared" si="1"/>
        <v>1.0830923430776425</v>
      </c>
      <c r="F52" s="5"/>
    </row>
    <row r="53" spans="1:6" x14ac:dyDescent="0.2">
      <c r="A53" s="5">
        <v>2081</v>
      </c>
      <c r="B53" s="5">
        <v>1031.5165172168022</v>
      </c>
      <c r="C53" s="5">
        <f t="shared" si="2"/>
        <v>23227.403098064075</v>
      </c>
      <c r="D53" s="5">
        <f t="shared" si="0"/>
        <v>23.227403098064073</v>
      </c>
      <c r="E53">
        <f t="shared" si="1"/>
        <v>1.0315165172168022</v>
      </c>
      <c r="F53" s="5"/>
    </row>
    <row r="54" spans="1:6" x14ac:dyDescent="0.2">
      <c r="A54" s="5">
        <v>2082</v>
      </c>
      <c r="B54" s="5">
        <f t="shared" si="3"/>
        <v>1083.0923430776425</v>
      </c>
      <c r="C54" s="5">
        <f t="shared" si="2"/>
        <v>24310.495441141717</v>
      </c>
      <c r="D54" s="5">
        <f t="shared" si="0"/>
        <v>24.310495441141718</v>
      </c>
      <c r="E54">
        <f t="shared" si="1"/>
        <v>1.0830923430776425</v>
      </c>
      <c r="F54" s="5"/>
    </row>
    <row r="55" spans="1:6" x14ac:dyDescent="0.2">
      <c r="A55" s="5">
        <v>2083</v>
      </c>
      <c r="B55" s="5">
        <v>1031.5165172168022</v>
      </c>
      <c r="C55" s="5">
        <f t="shared" si="2"/>
        <v>25342.011958358518</v>
      </c>
      <c r="D55" s="5">
        <f t="shared" si="0"/>
        <v>25.342011958358519</v>
      </c>
      <c r="E55">
        <f t="shared" si="1"/>
        <v>1.0315165172168022</v>
      </c>
      <c r="F55" s="5"/>
    </row>
    <row r="56" spans="1:6" x14ac:dyDescent="0.2">
      <c r="A56" s="5">
        <v>2084</v>
      </c>
      <c r="B56" s="5">
        <f t="shared" si="3"/>
        <v>1083.0923430776425</v>
      </c>
      <c r="C56" s="5">
        <f t="shared" si="2"/>
        <v>26425.10430143616</v>
      </c>
      <c r="D56" s="5">
        <f t="shared" si="0"/>
        <v>26.425104301436161</v>
      </c>
      <c r="E56">
        <f t="shared" si="1"/>
        <v>1.0830923430776425</v>
      </c>
      <c r="F56" s="5"/>
    </row>
    <row r="57" spans="1:6" x14ac:dyDescent="0.2">
      <c r="A57" s="5">
        <v>2085</v>
      </c>
      <c r="B57" s="5">
        <v>1031.5165172168022</v>
      </c>
      <c r="C57" s="5">
        <f t="shared" si="2"/>
        <v>27456.620818652962</v>
      </c>
      <c r="D57" s="5">
        <f t="shared" si="0"/>
        <v>27.456620818652961</v>
      </c>
      <c r="E57">
        <f t="shared" si="1"/>
        <v>1.0315165172168022</v>
      </c>
      <c r="F57" s="5"/>
    </row>
    <row r="58" spans="1:6" x14ac:dyDescent="0.2">
      <c r="A58" s="5">
        <v>2086</v>
      </c>
      <c r="B58" s="5">
        <f t="shared" si="3"/>
        <v>1083.0923430776425</v>
      </c>
      <c r="C58" s="5">
        <f t="shared" si="2"/>
        <v>28539.713161730604</v>
      </c>
      <c r="D58" s="5">
        <f t="shared" si="0"/>
        <v>28.539713161730603</v>
      </c>
      <c r="E58">
        <f t="shared" si="1"/>
        <v>1.0830923430776425</v>
      </c>
      <c r="F58" s="5"/>
    </row>
    <row r="59" spans="1:6" x14ac:dyDescent="0.2">
      <c r="A59" s="5">
        <v>2087</v>
      </c>
      <c r="B59" s="5">
        <v>1031.5165172168022</v>
      </c>
      <c r="C59" s="5">
        <f t="shared" si="2"/>
        <v>29571.229678947406</v>
      </c>
      <c r="D59" s="5">
        <f t="shared" si="0"/>
        <v>29.571229678947407</v>
      </c>
      <c r="E59">
        <f t="shared" si="1"/>
        <v>1.0315165172168022</v>
      </c>
      <c r="F59" s="5"/>
    </row>
    <row r="60" spans="1:6" x14ac:dyDescent="0.2">
      <c r="A60" s="5">
        <v>2088</v>
      </c>
      <c r="B60" s="5">
        <f t="shared" si="3"/>
        <v>1083.0923430776425</v>
      </c>
      <c r="C60" s="5">
        <f t="shared" si="2"/>
        <v>30654.322022025048</v>
      </c>
      <c r="D60" s="5">
        <f t="shared" si="0"/>
        <v>30.654322022025049</v>
      </c>
      <c r="E60">
        <f t="shared" si="1"/>
        <v>1.0830923430776425</v>
      </c>
      <c r="F60" s="5"/>
    </row>
    <row r="61" spans="1:6" x14ac:dyDescent="0.2">
      <c r="A61" s="5">
        <v>2089</v>
      </c>
      <c r="B61" s="5">
        <v>1031.5165172168022</v>
      </c>
      <c r="C61" s="5">
        <f t="shared" si="2"/>
        <v>31685.83853924185</v>
      </c>
      <c r="D61" s="5">
        <f t="shared" si="0"/>
        <v>31.68583853924185</v>
      </c>
      <c r="E61">
        <f t="shared" si="1"/>
        <v>1.0315165172168022</v>
      </c>
      <c r="F61" s="5"/>
    </row>
    <row r="62" spans="1:6" x14ac:dyDescent="0.2">
      <c r="A62" s="5">
        <v>2090</v>
      </c>
      <c r="B62" s="5">
        <f t="shared" si="3"/>
        <v>1083.0923430776425</v>
      </c>
      <c r="C62" s="5">
        <f t="shared" si="2"/>
        <v>32768.930882319495</v>
      </c>
      <c r="D62" s="5">
        <f t="shared" si="0"/>
        <v>32.768930882319495</v>
      </c>
      <c r="E62">
        <f t="shared" si="1"/>
        <v>1.0830923430776425</v>
      </c>
      <c r="F62" s="5"/>
    </row>
    <row r="63" spans="1:6" x14ac:dyDescent="0.2">
      <c r="A63" s="5">
        <v>2091</v>
      </c>
      <c r="B63" s="5">
        <v>1031.5165172168022</v>
      </c>
      <c r="C63" s="5">
        <f t="shared" si="2"/>
        <v>33800.447399536301</v>
      </c>
      <c r="D63" s="5">
        <f t="shared" si="0"/>
        <v>33.800447399536303</v>
      </c>
      <c r="E63">
        <f t="shared" si="1"/>
        <v>1.0315165172168022</v>
      </c>
      <c r="F63" s="5"/>
    </row>
    <row r="64" spans="1:6" x14ac:dyDescent="0.2">
      <c r="A64" s="5">
        <v>2092</v>
      </c>
      <c r="B64" s="5">
        <f t="shared" si="3"/>
        <v>1083.0923430776425</v>
      </c>
      <c r="C64" s="5">
        <f t="shared" si="2"/>
        <v>34883.539742613946</v>
      </c>
      <c r="D64" s="5">
        <f t="shared" si="0"/>
        <v>34.883539742613948</v>
      </c>
      <c r="E64">
        <f t="shared" si="1"/>
        <v>1.0830923430776425</v>
      </c>
      <c r="F64" s="5"/>
    </row>
    <row r="65" spans="1:6" x14ac:dyDescent="0.2">
      <c r="A65" s="5">
        <v>2093</v>
      </c>
      <c r="B65" s="5">
        <v>1031.5165172168022</v>
      </c>
      <c r="C65" s="5">
        <f t="shared" si="2"/>
        <v>35915.056259830752</v>
      </c>
      <c r="D65" s="5">
        <f t="shared" si="0"/>
        <v>35.915056259830749</v>
      </c>
      <c r="E65">
        <f t="shared" si="1"/>
        <v>1.0315165172168022</v>
      </c>
      <c r="F65" s="5"/>
    </row>
    <row r="66" spans="1:6" x14ac:dyDescent="0.2">
      <c r="A66" s="5">
        <v>2094</v>
      </c>
      <c r="B66" s="5">
        <f t="shared" si="3"/>
        <v>1083.0923430776425</v>
      </c>
      <c r="C66" s="5">
        <f t="shared" si="2"/>
        <v>36998.148602908397</v>
      </c>
      <c r="D66" s="5">
        <f t="shared" si="0"/>
        <v>36.998148602908394</v>
      </c>
      <c r="E66">
        <f t="shared" si="1"/>
        <v>1.0830923430776425</v>
      </c>
      <c r="F66" s="5"/>
    </row>
    <row r="67" spans="1:6" x14ac:dyDescent="0.2">
      <c r="A67" s="5">
        <v>2095</v>
      </c>
      <c r="B67" s="5">
        <v>1031.5165172168022</v>
      </c>
      <c r="C67" s="5">
        <f t="shared" si="2"/>
        <v>38029.665120125203</v>
      </c>
      <c r="D67" s="5">
        <f t="shared" ref="D67:D72" si="4">C67/1000</f>
        <v>38.029665120125202</v>
      </c>
      <c r="E67">
        <f t="shared" ref="E67:E72" si="5">B67/1000</f>
        <v>1.0315165172168022</v>
      </c>
      <c r="F67" s="5"/>
    </row>
    <row r="68" spans="1:6" x14ac:dyDescent="0.2">
      <c r="A68" s="5">
        <v>2096</v>
      </c>
      <c r="B68" s="5">
        <f t="shared" si="3"/>
        <v>1083.0923430776425</v>
      </c>
      <c r="C68" s="5">
        <f t="shared" ref="C68:C72" si="6">C67+B68</f>
        <v>39112.757463202848</v>
      </c>
      <c r="D68" s="5">
        <f t="shared" si="4"/>
        <v>39.112757463202847</v>
      </c>
      <c r="E68">
        <f t="shared" si="5"/>
        <v>1.0830923430776425</v>
      </c>
      <c r="F68" s="5"/>
    </row>
    <row r="69" spans="1:6" x14ac:dyDescent="0.2">
      <c r="A69" s="5">
        <v>2097</v>
      </c>
      <c r="B69" s="5">
        <v>1031.5165172168022</v>
      </c>
      <c r="C69" s="5">
        <f t="shared" si="6"/>
        <v>40144.273980419654</v>
      </c>
      <c r="D69" s="5">
        <f t="shared" si="4"/>
        <v>40.144273980419655</v>
      </c>
      <c r="E69">
        <f t="shared" si="5"/>
        <v>1.0315165172168022</v>
      </c>
      <c r="F69" s="5"/>
    </row>
    <row r="70" spans="1:6" x14ac:dyDescent="0.2">
      <c r="A70" s="5">
        <v>2098</v>
      </c>
      <c r="B70" s="5">
        <f t="shared" si="3"/>
        <v>1083.0923430776425</v>
      </c>
      <c r="C70" s="5">
        <f t="shared" si="6"/>
        <v>41227.366323497299</v>
      </c>
      <c r="D70" s="5">
        <f t="shared" si="4"/>
        <v>41.2273663234973</v>
      </c>
      <c r="E70">
        <f t="shared" si="5"/>
        <v>1.0830923430776425</v>
      </c>
      <c r="F70" s="5"/>
    </row>
    <row r="71" spans="1:6" x14ac:dyDescent="0.2">
      <c r="A71" s="5">
        <v>2099</v>
      </c>
      <c r="B71" s="5">
        <v>1031.5165172168022</v>
      </c>
      <c r="C71" s="5">
        <f t="shared" si="6"/>
        <v>42258.882840714105</v>
      </c>
      <c r="D71" s="5">
        <f t="shared" si="4"/>
        <v>42.258882840714108</v>
      </c>
      <c r="E71">
        <f t="shared" si="5"/>
        <v>1.0315165172168022</v>
      </c>
      <c r="F71" s="5"/>
    </row>
    <row r="72" spans="1:6" x14ac:dyDescent="0.2">
      <c r="A72" s="5">
        <v>2100</v>
      </c>
      <c r="B72" s="5">
        <f t="shared" si="3"/>
        <v>1083.0923430776425</v>
      </c>
      <c r="C72" s="5">
        <f t="shared" si="6"/>
        <v>43341.97518379175</v>
      </c>
      <c r="D72" s="5">
        <f t="shared" si="4"/>
        <v>43.341975183791753</v>
      </c>
      <c r="E72">
        <f t="shared" si="5"/>
        <v>1.0830923430776425</v>
      </c>
      <c r="F72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18BD-BAC0-9B42-9741-0E32947252BC}">
  <dimension ref="A1:E72"/>
  <sheetViews>
    <sheetView workbookViewId="0">
      <selection activeCell="H2" sqref="H2"/>
    </sheetView>
  </sheetViews>
  <sheetFormatPr baseColWidth="10" defaultRowHeight="15" x14ac:dyDescent="0.2"/>
  <cols>
    <col min="2" max="2" width="18.6640625" customWidth="1"/>
    <col min="3" max="3" width="13.83203125" customWidth="1"/>
    <col min="4" max="4" width="14.5" customWidth="1"/>
    <col min="5" max="5" width="15.5" customWidth="1"/>
  </cols>
  <sheetData>
    <row r="1" spans="1:5" x14ac:dyDescent="0.2">
      <c r="A1" s="5" t="s">
        <v>64</v>
      </c>
      <c r="B1" s="5" t="s">
        <v>65</v>
      </c>
      <c r="C1" s="5" t="s">
        <v>66</v>
      </c>
      <c r="D1" s="5" t="s">
        <v>70</v>
      </c>
      <c r="E1" s="5" t="s">
        <v>72</v>
      </c>
    </row>
    <row r="2" spans="1:5" x14ac:dyDescent="0.2">
      <c r="A2" s="5">
        <v>2030</v>
      </c>
      <c r="B2" s="5">
        <v>50</v>
      </c>
      <c r="C2" s="5">
        <f>0+B2</f>
        <v>50</v>
      </c>
      <c r="D2" s="5">
        <f>C2/1000</f>
        <v>0.05</v>
      </c>
      <c r="E2">
        <f>B2/1000</f>
        <v>0.05</v>
      </c>
    </row>
    <row r="3" spans="1:5" x14ac:dyDescent="0.2">
      <c r="A3" s="5">
        <v>2031</v>
      </c>
      <c r="B3" s="5">
        <f>B2*1.1746</f>
        <v>58.730000000000004</v>
      </c>
      <c r="C3" s="5">
        <f>C2+B3</f>
        <v>108.73</v>
      </c>
      <c r="D3" s="5">
        <f t="shared" ref="D3:D66" si="0">C3/1000</f>
        <v>0.10873000000000001</v>
      </c>
      <c r="E3">
        <f t="shared" ref="E3:E66" si="1">B3/1000</f>
        <v>5.8730000000000004E-2</v>
      </c>
    </row>
    <row r="4" spans="1:5" x14ac:dyDescent="0.2">
      <c r="A4" s="5">
        <v>2032</v>
      </c>
      <c r="B4" s="5">
        <f t="shared" ref="B4:B21" si="2">B3*1.1746</f>
        <v>68.984258000000011</v>
      </c>
      <c r="C4" s="5">
        <f t="shared" ref="C4:C67" si="3">C3+B4</f>
        <v>177.71425800000003</v>
      </c>
      <c r="D4" s="5">
        <f t="shared" si="0"/>
        <v>0.17771425800000004</v>
      </c>
      <c r="E4">
        <f t="shared" si="1"/>
        <v>6.8984258000000007E-2</v>
      </c>
    </row>
    <row r="5" spans="1:5" x14ac:dyDescent="0.2">
      <c r="A5" s="5">
        <v>2033</v>
      </c>
      <c r="B5" s="5">
        <f t="shared" si="2"/>
        <v>81.028909446800014</v>
      </c>
      <c r="C5" s="5">
        <f t="shared" si="3"/>
        <v>258.74316744680004</v>
      </c>
      <c r="D5" s="5">
        <f t="shared" si="0"/>
        <v>0.25874316744680004</v>
      </c>
      <c r="E5">
        <f t="shared" si="1"/>
        <v>8.102890944680001E-2</v>
      </c>
    </row>
    <row r="6" spans="1:5" x14ac:dyDescent="0.2">
      <c r="A6" s="5">
        <v>2034</v>
      </c>
      <c r="B6" s="5">
        <f t="shared" si="2"/>
        <v>95.176557036211307</v>
      </c>
      <c r="C6" s="5">
        <f t="shared" si="3"/>
        <v>353.91972448301135</v>
      </c>
      <c r="D6" s="5">
        <f t="shared" si="0"/>
        <v>0.35391972448301134</v>
      </c>
      <c r="E6">
        <f t="shared" si="1"/>
        <v>9.5176557036211307E-2</v>
      </c>
    </row>
    <row r="7" spans="1:5" x14ac:dyDescent="0.2">
      <c r="A7" s="5">
        <v>2035</v>
      </c>
      <c r="B7" s="5">
        <f t="shared" si="2"/>
        <v>111.79438389473381</v>
      </c>
      <c r="C7" s="5">
        <f t="shared" si="3"/>
        <v>465.71410837774516</v>
      </c>
      <c r="D7" s="5">
        <f t="shared" si="0"/>
        <v>0.46571410837774518</v>
      </c>
      <c r="E7">
        <f t="shared" si="1"/>
        <v>0.11179438389473381</v>
      </c>
    </row>
    <row r="8" spans="1:5" x14ac:dyDescent="0.2">
      <c r="A8" s="5">
        <v>2036</v>
      </c>
      <c r="B8" s="5">
        <f t="shared" si="2"/>
        <v>131.31368332275434</v>
      </c>
      <c r="C8" s="5">
        <f t="shared" si="3"/>
        <v>597.02779170049951</v>
      </c>
      <c r="D8" s="5">
        <f t="shared" si="0"/>
        <v>0.59702779170049947</v>
      </c>
      <c r="E8">
        <f t="shared" si="1"/>
        <v>0.13131368332275434</v>
      </c>
    </row>
    <row r="9" spans="1:5" x14ac:dyDescent="0.2">
      <c r="A9" s="5">
        <v>2037</v>
      </c>
      <c r="B9" s="5">
        <f t="shared" si="2"/>
        <v>154.24105243090727</v>
      </c>
      <c r="C9" s="5">
        <f t="shared" si="3"/>
        <v>751.26884413140681</v>
      </c>
      <c r="D9" s="5">
        <f t="shared" si="0"/>
        <v>0.75126884413140682</v>
      </c>
      <c r="E9">
        <f t="shared" si="1"/>
        <v>0.15424105243090727</v>
      </c>
    </row>
    <row r="10" spans="1:5" x14ac:dyDescent="0.2">
      <c r="A10" s="5">
        <v>2038</v>
      </c>
      <c r="B10" s="5">
        <f t="shared" si="2"/>
        <v>181.1715401853437</v>
      </c>
      <c r="C10" s="5">
        <f t="shared" si="3"/>
        <v>932.44038431675051</v>
      </c>
      <c r="D10" s="5">
        <f t="shared" si="0"/>
        <v>0.93244038431675047</v>
      </c>
      <c r="E10">
        <f t="shared" si="1"/>
        <v>0.1811715401853437</v>
      </c>
    </row>
    <row r="11" spans="1:5" x14ac:dyDescent="0.2">
      <c r="A11" s="5">
        <v>2039</v>
      </c>
      <c r="B11" s="5">
        <f t="shared" si="2"/>
        <v>212.80409110170473</v>
      </c>
      <c r="C11" s="5">
        <f t="shared" si="3"/>
        <v>1145.2444754184553</v>
      </c>
      <c r="D11" s="5">
        <f t="shared" si="0"/>
        <v>1.1452444754184552</v>
      </c>
      <c r="E11">
        <f t="shared" si="1"/>
        <v>0.21280409110170473</v>
      </c>
    </row>
    <row r="12" spans="1:5" x14ac:dyDescent="0.2">
      <c r="A12" s="5">
        <v>2040</v>
      </c>
      <c r="B12" s="5">
        <f t="shared" si="2"/>
        <v>249.9596854080624</v>
      </c>
      <c r="C12" s="5">
        <f t="shared" si="3"/>
        <v>1395.2041608265176</v>
      </c>
      <c r="D12" s="5">
        <f t="shared" si="0"/>
        <v>1.3952041608265175</v>
      </c>
      <c r="E12">
        <f t="shared" si="1"/>
        <v>0.2499596854080624</v>
      </c>
    </row>
    <row r="13" spans="1:5" x14ac:dyDescent="0.2">
      <c r="A13" s="5">
        <v>2041</v>
      </c>
      <c r="B13" s="5">
        <f t="shared" si="2"/>
        <v>293.60264648031011</v>
      </c>
      <c r="C13" s="5">
        <f t="shared" si="3"/>
        <v>1688.8068073068277</v>
      </c>
      <c r="D13" s="5">
        <f t="shared" si="0"/>
        <v>1.6888068073068276</v>
      </c>
      <c r="E13">
        <f t="shared" si="1"/>
        <v>0.29360264648031009</v>
      </c>
    </row>
    <row r="14" spans="1:5" x14ac:dyDescent="0.2">
      <c r="A14" s="5">
        <v>2042</v>
      </c>
      <c r="B14" s="5">
        <f t="shared" si="2"/>
        <v>344.86566855577229</v>
      </c>
      <c r="C14" s="5">
        <f t="shared" si="3"/>
        <v>2033.6724758626001</v>
      </c>
      <c r="D14" s="5">
        <f t="shared" si="0"/>
        <v>2.0336724758626001</v>
      </c>
      <c r="E14">
        <f t="shared" si="1"/>
        <v>0.34486566855577228</v>
      </c>
    </row>
    <row r="15" spans="1:5" x14ac:dyDescent="0.2">
      <c r="A15" s="5">
        <v>2043</v>
      </c>
      <c r="B15" s="5">
        <f t="shared" si="2"/>
        <v>405.07921428561013</v>
      </c>
      <c r="C15" s="5">
        <f t="shared" si="3"/>
        <v>2438.7516901482104</v>
      </c>
      <c r="D15" s="5">
        <f t="shared" si="0"/>
        <v>2.4387516901482105</v>
      </c>
      <c r="E15">
        <f t="shared" si="1"/>
        <v>0.40507921428561011</v>
      </c>
    </row>
    <row r="16" spans="1:5" x14ac:dyDescent="0.2">
      <c r="A16" s="5">
        <v>2044</v>
      </c>
      <c r="B16" s="5">
        <f t="shared" si="2"/>
        <v>475.80604509987768</v>
      </c>
      <c r="C16" s="5">
        <f t="shared" si="3"/>
        <v>2914.5577352480882</v>
      </c>
      <c r="D16" s="5">
        <f t="shared" si="0"/>
        <v>2.914557735248088</v>
      </c>
      <c r="E16">
        <f t="shared" si="1"/>
        <v>0.47580604509987767</v>
      </c>
    </row>
    <row r="17" spans="1:5" x14ac:dyDescent="0.2">
      <c r="A17" s="5">
        <v>2045</v>
      </c>
      <c r="B17" s="5">
        <f t="shared" si="2"/>
        <v>558.88178057431639</v>
      </c>
      <c r="C17" s="5">
        <f t="shared" si="3"/>
        <v>3473.4395158224047</v>
      </c>
      <c r="D17" s="5">
        <f t="shared" si="0"/>
        <v>3.4734395158224047</v>
      </c>
      <c r="E17">
        <f t="shared" si="1"/>
        <v>0.55888178057431637</v>
      </c>
    </row>
    <row r="18" spans="1:5" x14ac:dyDescent="0.2">
      <c r="A18" s="5">
        <v>2046</v>
      </c>
      <c r="B18" s="5">
        <f t="shared" si="2"/>
        <v>656.46253946259208</v>
      </c>
      <c r="C18" s="5">
        <f t="shared" si="3"/>
        <v>4129.902055284997</v>
      </c>
      <c r="D18" s="5">
        <f t="shared" si="0"/>
        <v>4.1299020552849974</v>
      </c>
      <c r="E18">
        <f t="shared" si="1"/>
        <v>0.65646253946259203</v>
      </c>
    </row>
    <row r="19" spans="1:5" x14ac:dyDescent="0.2">
      <c r="A19" s="5">
        <v>2047</v>
      </c>
      <c r="B19" s="5">
        <f t="shared" si="2"/>
        <v>771.0808988527607</v>
      </c>
      <c r="C19" s="5">
        <f t="shared" si="3"/>
        <v>4900.9829541377576</v>
      </c>
      <c r="D19" s="5">
        <f t="shared" si="0"/>
        <v>4.9009829541377572</v>
      </c>
      <c r="E19">
        <f t="shared" si="1"/>
        <v>0.77108089885276065</v>
      </c>
    </row>
    <row r="20" spans="1:5" x14ac:dyDescent="0.2">
      <c r="A20" s="5">
        <v>2048</v>
      </c>
      <c r="B20" s="5">
        <f t="shared" si="2"/>
        <v>905.71162379245277</v>
      </c>
      <c r="C20" s="5">
        <f t="shared" si="3"/>
        <v>5806.6945779302105</v>
      </c>
      <c r="D20" s="5">
        <f t="shared" si="0"/>
        <v>5.8066945779302106</v>
      </c>
      <c r="E20">
        <f t="shared" si="1"/>
        <v>0.90571162379245274</v>
      </c>
    </row>
    <row r="21" spans="1:5" x14ac:dyDescent="0.2">
      <c r="A21" s="5">
        <v>2049</v>
      </c>
      <c r="B21" s="5">
        <f t="shared" si="2"/>
        <v>1063.8488733066151</v>
      </c>
      <c r="C21" s="5">
        <f t="shared" si="3"/>
        <v>6870.5434512368256</v>
      </c>
      <c r="D21" s="5">
        <f t="shared" si="0"/>
        <v>6.8705434512368253</v>
      </c>
      <c r="E21">
        <f t="shared" si="1"/>
        <v>1.0638488733066152</v>
      </c>
    </row>
    <row r="22" spans="1:5" x14ac:dyDescent="0.2">
      <c r="A22" s="5">
        <v>2050</v>
      </c>
      <c r="B22" s="5">
        <v>1063.8488733066151</v>
      </c>
      <c r="C22" s="5">
        <f t="shared" si="3"/>
        <v>7934.3923245434407</v>
      </c>
      <c r="D22" s="5">
        <f t="shared" si="0"/>
        <v>7.9343923245434409</v>
      </c>
      <c r="E22">
        <f t="shared" si="1"/>
        <v>1.0638488733066152</v>
      </c>
    </row>
    <row r="23" spans="1:5" x14ac:dyDescent="0.2">
      <c r="A23" s="5">
        <v>2051</v>
      </c>
      <c r="B23" s="5">
        <v>1063.8488733066151</v>
      </c>
      <c r="C23" s="5">
        <f t="shared" si="3"/>
        <v>8998.2411978500568</v>
      </c>
      <c r="D23" s="5">
        <f t="shared" si="0"/>
        <v>8.9982411978500565</v>
      </c>
      <c r="E23">
        <f t="shared" si="1"/>
        <v>1.0638488733066152</v>
      </c>
    </row>
    <row r="24" spans="1:5" x14ac:dyDescent="0.2">
      <c r="A24" s="5">
        <v>2052</v>
      </c>
      <c r="B24" s="5">
        <v>1063.8488733066151</v>
      </c>
      <c r="C24" s="5">
        <f t="shared" si="3"/>
        <v>10062.090071156672</v>
      </c>
      <c r="D24" s="5">
        <f t="shared" si="0"/>
        <v>10.062090071156671</v>
      </c>
      <c r="E24">
        <f t="shared" si="1"/>
        <v>1.0638488733066152</v>
      </c>
    </row>
    <row r="25" spans="1:5" x14ac:dyDescent="0.2">
      <c r="A25" s="5">
        <v>2053</v>
      </c>
      <c r="B25" s="5">
        <v>1063.8488733066151</v>
      </c>
      <c r="C25" s="5">
        <f t="shared" si="3"/>
        <v>11125.938944463287</v>
      </c>
      <c r="D25" s="5">
        <f t="shared" si="0"/>
        <v>11.125938944463288</v>
      </c>
      <c r="E25">
        <f t="shared" si="1"/>
        <v>1.0638488733066152</v>
      </c>
    </row>
    <row r="26" spans="1:5" x14ac:dyDescent="0.2">
      <c r="A26" s="5">
        <v>2054</v>
      </c>
      <c r="B26" s="5">
        <v>1063.8488733066151</v>
      </c>
      <c r="C26" s="5">
        <f t="shared" si="3"/>
        <v>12189.787817769902</v>
      </c>
      <c r="D26" s="5">
        <f t="shared" si="0"/>
        <v>12.189787817769902</v>
      </c>
      <c r="E26">
        <f t="shared" si="1"/>
        <v>1.0638488733066152</v>
      </c>
    </row>
    <row r="27" spans="1:5" x14ac:dyDescent="0.2">
      <c r="A27" s="5">
        <v>2055</v>
      </c>
      <c r="B27" s="5">
        <v>1063.8488733066151</v>
      </c>
      <c r="C27" s="5">
        <f t="shared" si="3"/>
        <v>13253.636691076517</v>
      </c>
      <c r="D27" s="5">
        <f t="shared" si="0"/>
        <v>13.253636691076517</v>
      </c>
      <c r="E27">
        <f t="shared" si="1"/>
        <v>1.0638488733066152</v>
      </c>
    </row>
    <row r="28" spans="1:5" x14ac:dyDescent="0.2">
      <c r="A28" s="5">
        <v>2056</v>
      </c>
      <c r="B28" s="5">
        <v>1063.8488733066151</v>
      </c>
      <c r="C28" s="5">
        <f t="shared" si="3"/>
        <v>14317.485564383132</v>
      </c>
      <c r="D28" s="5">
        <f t="shared" si="0"/>
        <v>14.317485564383132</v>
      </c>
      <c r="E28">
        <f t="shared" si="1"/>
        <v>1.0638488733066152</v>
      </c>
    </row>
    <row r="29" spans="1:5" x14ac:dyDescent="0.2">
      <c r="A29" s="5">
        <v>2057</v>
      </c>
      <c r="B29" s="5">
        <v>1063.8488733066151</v>
      </c>
      <c r="C29" s="5">
        <f t="shared" si="3"/>
        <v>15381.334437689748</v>
      </c>
      <c r="D29" s="5">
        <f t="shared" si="0"/>
        <v>15.381334437689748</v>
      </c>
      <c r="E29">
        <f t="shared" si="1"/>
        <v>1.0638488733066152</v>
      </c>
    </row>
    <row r="30" spans="1:5" x14ac:dyDescent="0.2">
      <c r="A30" s="5">
        <v>2058</v>
      </c>
      <c r="B30" s="5">
        <v>1063.8488733066151</v>
      </c>
      <c r="C30" s="5">
        <f t="shared" si="3"/>
        <v>16445.183310996363</v>
      </c>
      <c r="D30" s="5">
        <f t="shared" si="0"/>
        <v>16.445183310996363</v>
      </c>
      <c r="E30">
        <f t="shared" si="1"/>
        <v>1.0638488733066152</v>
      </c>
    </row>
    <row r="31" spans="1:5" x14ac:dyDescent="0.2">
      <c r="A31" s="5">
        <v>2059</v>
      </c>
      <c r="B31" s="5">
        <v>1063.8488733066151</v>
      </c>
      <c r="C31" s="5">
        <f t="shared" si="3"/>
        <v>17509.032184302978</v>
      </c>
      <c r="D31" s="5">
        <f t="shared" si="0"/>
        <v>17.509032184302978</v>
      </c>
      <c r="E31">
        <f t="shared" si="1"/>
        <v>1.0638488733066152</v>
      </c>
    </row>
    <row r="32" spans="1:5" x14ac:dyDescent="0.2">
      <c r="A32" s="5">
        <v>2060</v>
      </c>
      <c r="B32" s="5">
        <v>1063.8488733066151</v>
      </c>
      <c r="C32" s="5">
        <f t="shared" si="3"/>
        <v>18572.881057609593</v>
      </c>
      <c r="D32" s="5">
        <f t="shared" si="0"/>
        <v>18.572881057609592</v>
      </c>
      <c r="E32">
        <f t="shared" si="1"/>
        <v>1.0638488733066152</v>
      </c>
    </row>
    <row r="33" spans="1:5" x14ac:dyDescent="0.2">
      <c r="A33" s="5">
        <v>2061</v>
      </c>
      <c r="B33" s="5">
        <v>1063.8488733066151</v>
      </c>
      <c r="C33" s="5">
        <f t="shared" si="3"/>
        <v>19636.729930916208</v>
      </c>
      <c r="D33" s="5">
        <f t="shared" si="0"/>
        <v>19.636729930916207</v>
      </c>
      <c r="E33">
        <f t="shared" si="1"/>
        <v>1.0638488733066152</v>
      </c>
    </row>
    <row r="34" spans="1:5" x14ac:dyDescent="0.2">
      <c r="A34" s="5">
        <v>2062</v>
      </c>
      <c r="B34" s="5">
        <v>1063.8488733066151</v>
      </c>
      <c r="C34" s="5">
        <f t="shared" si="3"/>
        <v>20700.578804222823</v>
      </c>
      <c r="D34" s="5">
        <f t="shared" si="0"/>
        <v>20.700578804222822</v>
      </c>
      <c r="E34">
        <f t="shared" si="1"/>
        <v>1.0638488733066152</v>
      </c>
    </row>
    <row r="35" spans="1:5" x14ac:dyDescent="0.2">
      <c r="A35" s="5">
        <v>2063</v>
      </c>
      <c r="B35" s="5">
        <v>1063.8488733066151</v>
      </c>
      <c r="C35" s="5">
        <f t="shared" si="3"/>
        <v>21764.427677529438</v>
      </c>
      <c r="D35" s="5">
        <f t="shared" si="0"/>
        <v>21.76442767752944</v>
      </c>
      <c r="E35">
        <f t="shared" si="1"/>
        <v>1.0638488733066152</v>
      </c>
    </row>
    <row r="36" spans="1:5" x14ac:dyDescent="0.2">
      <c r="A36" s="5">
        <v>2064</v>
      </c>
      <c r="B36" s="5">
        <v>1063.8488733066151</v>
      </c>
      <c r="C36" s="5">
        <f t="shared" si="3"/>
        <v>22828.276550836054</v>
      </c>
      <c r="D36" s="5">
        <f t="shared" si="0"/>
        <v>22.828276550836055</v>
      </c>
      <c r="E36">
        <f t="shared" si="1"/>
        <v>1.0638488733066152</v>
      </c>
    </row>
    <row r="37" spans="1:5" x14ac:dyDescent="0.2">
      <c r="A37" s="5">
        <v>2065</v>
      </c>
      <c r="B37" s="5">
        <v>1063.8488733066151</v>
      </c>
      <c r="C37" s="5">
        <f t="shared" si="3"/>
        <v>23892.125424142669</v>
      </c>
      <c r="D37" s="5">
        <f t="shared" si="0"/>
        <v>23.892125424142669</v>
      </c>
      <c r="E37">
        <f t="shared" si="1"/>
        <v>1.0638488733066152</v>
      </c>
    </row>
    <row r="38" spans="1:5" x14ac:dyDescent="0.2">
      <c r="A38" s="5">
        <v>2066</v>
      </c>
      <c r="B38" s="5">
        <v>1063.8488733066151</v>
      </c>
      <c r="C38" s="5">
        <f t="shared" si="3"/>
        <v>24955.974297449284</v>
      </c>
      <c r="D38" s="5">
        <f t="shared" si="0"/>
        <v>24.955974297449284</v>
      </c>
      <c r="E38">
        <f t="shared" si="1"/>
        <v>1.0638488733066152</v>
      </c>
    </row>
    <row r="39" spans="1:5" x14ac:dyDescent="0.2">
      <c r="A39" s="5">
        <v>2067</v>
      </c>
      <c r="B39" s="5">
        <v>1063.8488733066151</v>
      </c>
      <c r="C39" s="5">
        <f t="shared" si="3"/>
        <v>26019.823170755899</v>
      </c>
      <c r="D39" s="5">
        <f t="shared" si="0"/>
        <v>26.019823170755899</v>
      </c>
      <c r="E39">
        <f t="shared" si="1"/>
        <v>1.0638488733066152</v>
      </c>
    </row>
    <row r="40" spans="1:5" x14ac:dyDescent="0.2">
      <c r="A40" s="5">
        <v>2068</v>
      </c>
      <c r="B40" s="5">
        <v>1063.8488733066151</v>
      </c>
      <c r="C40" s="5">
        <f t="shared" si="3"/>
        <v>27083.672044062514</v>
      </c>
      <c r="D40" s="5">
        <f t="shared" si="0"/>
        <v>27.083672044062514</v>
      </c>
      <c r="E40">
        <f t="shared" si="1"/>
        <v>1.0638488733066152</v>
      </c>
    </row>
    <row r="41" spans="1:5" x14ac:dyDescent="0.2">
      <c r="A41" s="5">
        <v>2069</v>
      </c>
      <c r="B41" s="5">
        <v>1063.8488733066151</v>
      </c>
      <c r="C41" s="5">
        <f t="shared" si="3"/>
        <v>28147.520917369129</v>
      </c>
      <c r="D41" s="5">
        <f t="shared" si="0"/>
        <v>28.147520917369128</v>
      </c>
      <c r="E41">
        <f t="shared" si="1"/>
        <v>1.0638488733066152</v>
      </c>
    </row>
    <row r="42" spans="1:5" x14ac:dyDescent="0.2">
      <c r="A42" s="5">
        <v>2070</v>
      </c>
      <c r="B42" s="5">
        <v>1063.8488733066151</v>
      </c>
      <c r="C42" s="5">
        <f t="shared" si="3"/>
        <v>29211.369790675744</v>
      </c>
      <c r="D42" s="5">
        <f t="shared" si="0"/>
        <v>29.211369790675743</v>
      </c>
      <c r="E42">
        <f t="shared" si="1"/>
        <v>1.0638488733066152</v>
      </c>
    </row>
    <row r="43" spans="1:5" x14ac:dyDescent="0.2">
      <c r="A43" s="5">
        <v>2071</v>
      </c>
      <c r="B43" s="5">
        <v>1063.8488733066151</v>
      </c>
      <c r="C43" s="5">
        <f t="shared" si="3"/>
        <v>30275.218663982359</v>
      </c>
      <c r="D43" s="5">
        <f t="shared" si="0"/>
        <v>30.275218663982358</v>
      </c>
      <c r="E43">
        <f t="shared" si="1"/>
        <v>1.0638488733066152</v>
      </c>
    </row>
    <row r="44" spans="1:5" x14ac:dyDescent="0.2">
      <c r="A44" s="5">
        <v>2072</v>
      </c>
      <c r="B44" s="5">
        <v>1063.8488733066199</v>
      </c>
      <c r="C44" s="5">
        <f t="shared" si="3"/>
        <v>31339.067537288978</v>
      </c>
      <c r="D44" s="5">
        <f t="shared" si="0"/>
        <v>31.33906753728898</v>
      </c>
      <c r="E44">
        <f t="shared" si="1"/>
        <v>1.0638488733066198</v>
      </c>
    </row>
    <row r="45" spans="1:5" x14ac:dyDescent="0.2">
      <c r="A45" s="5">
        <v>2073</v>
      </c>
      <c r="B45" s="5">
        <v>1063.8488733066199</v>
      </c>
      <c r="C45" s="5">
        <f t="shared" si="3"/>
        <v>32402.916410595597</v>
      </c>
      <c r="D45" s="5">
        <f t="shared" si="0"/>
        <v>32.402916410595594</v>
      </c>
      <c r="E45">
        <f t="shared" si="1"/>
        <v>1.0638488733066198</v>
      </c>
    </row>
    <row r="46" spans="1:5" x14ac:dyDescent="0.2">
      <c r="A46" s="5">
        <v>2074</v>
      </c>
      <c r="B46" s="5">
        <v>1063.8488733066199</v>
      </c>
      <c r="C46" s="5">
        <f t="shared" si="3"/>
        <v>33466.765283902219</v>
      </c>
      <c r="D46" s="5">
        <f t="shared" si="0"/>
        <v>33.46676528390222</v>
      </c>
      <c r="E46">
        <f t="shared" si="1"/>
        <v>1.0638488733066198</v>
      </c>
    </row>
    <row r="47" spans="1:5" x14ac:dyDescent="0.2">
      <c r="A47" s="5">
        <v>2075</v>
      </c>
      <c r="B47" s="5">
        <v>1063.8488733066199</v>
      </c>
      <c r="C47" s="5">
        <f t="shared" si="3"/>
        <v>34530.614157208838</v>
      </c>
      <c r="D47" s="5">
        <f t="shared" si="0"/>
        <v>34.530614157208838</v>
      </c>
      <c r="E47">
        <f t="shared" si="1"/>
        <v>1.0638488733066198</v>
      </c>
    </row>
    <row r="48" spans="1:5" x14ac:dyDescent="0.2">
      <c r="A48" s="5">
        <v>2076</v>
      </c>
      <c r="B48" s="5">
        <v>1063.8488733066199</v>
      </c>
      <c r="C48" s="5">
        <f t="shared" si="3"/>
        <v>35594.463030515457</v>
      </c>
      <c r="D48" s="5">
        <f t="shared" si="0"/>
        <v>35.594463030515456</v>
      </c>
      <c r="E48">
        <f t="shared" si="1"/>
        <v>1.0638488733066198</v>
      </c>
    </row>
    <row r="49" spans="1:5" x14ac:dyDescent="0.2">
      <c r="A49" s="5">
        <v>2077</v>
      </c>
      <c r="B49" s="5">
        <v>1063.8488733066199</v>
      </c>
      <c r="C49" s="5">
        <f t="shared" si="3"/>
        <v>36658.311903822076</v>
      </c>
      <c r="D49" s="5">
        <f t="shared" si="0"/>
        <v>36.658311903822074</v>
      </c>
      <c r="E49">
        <f t="shared" si="1"/>
        <v>1.0638488733066198</v>
      </c>
    </row>
    <row r="50" spans="1:5" x14ac:dyDescent="0.2">
      <c r="A50" s="5">
        <v>2078</v>
      </c>
      <c r="B50" s="5">
        <v>1063.8488733066199</v>
      </c>
      <c r="C50" s="5">
        <f t="shared" si="3"/>
        <v>37722.160777128694</v>
      </c>
      <c r="D50" s="5">
        <f t="shared" si="0"/>
        <v>37.722160777128693</v>
      </c>
      <c r="E50">
        <f t="shared" si="1"/>
        <v>1.0638488733066198</v>
      </c>
    </row>
    <row r="51" spans="1:5" x14ac:dyDescent="0.2">
      <c r="A51" s="5">
        <v>2079</v>
      </c>
      <c r="B51" s="5">
        <v>1063.8488733066199</v>
      </c>
      <c r="C51" s="5">
        <f t="shared" si="3"/>
        <v>38786.009650435313</v>
      </c>
      <c r="D51" s="5">
        <f t="shared" si="0"/>
        <v>38.786009650435311</v>
      </c>
      <c r="E51">
        <f t="shared" si="1"/>
        <v>1.0638488733066198</v>
      </c>
    </row>
    <row r="52" spans="1:5" x14ac:dyDescent="0.2">
      <c r="A52" s="5">
        <v>2080</v>
      </c>
      <c r="B52" s="5">
        <v>1063.8488733066199</v>
      </c>
      <c r="C52" s="5">
        <f t="shared" si="3"/>
        <v>39849.858523741932</v>
      </c>
      <c r="D52" s="5">
        <f t="shared" si="0"/>
        <v>39.849858523741929</v>
      </c>
      <c r="E52">
        <f t="shared" si="1"/>
        <v>1.0638488733066198</v>
      </c>
    </row>
    <row r="53" spans="1:5" x14ac:dyDescent="0.2">
      <c r="A53" s="5">
        <v>2081</v>
      </c>
      <c r="B53" s="5">
        <v>1063.8488733066199</v>
      </c>
      <c r="C53" s="5">
        <f t="shared" si="3"/>
        <v>40913.707397048551</v>
      </c>
      <c r="D53" s="5">
        <f t="shared" si="0"/>
        <v>40.913707397048547</v>
      </c>
      <c r="E53">
        <f t="shared" si="1"/>
        <v>1.0638488733066198</v>
      </c>
    </row>
    <row r="54" spans="1:5" x14ac:dyDescent="0.2">
      <c r="A54" s="5">
        <v>2082</v>
      </c>
      <c r="B54" s="5">
        <v>1063.8488733066199</v>
      </c>
      <c r="C54" s="5">
        <f t="shared" si="3"/>
        <v>41977.55627035517</v>
      </c>
      <c r="D54" s="5">
        <f t="shared" si="0"/>
        <v>41.977556270355173</v>
      </c>
      <c r="E54">
        <f t="shared" si="1"/>
        <v>1.0638488733066198</v>
      </c>
    </row>
    <row r="55" spans="1:5" x14ac:dyDescent="0.2">
      <c r="A55" s="5">
        <v>2083</v>
      </c>
      <c r="B55" s="5">
        <v>1063.8488733066199</v>
      </c>
      <c r="C55" s="5">
        <f t="shared" si="3"/>
        <v>43041.405143661788</v>
      </c>
      <c r="D55" s="5">
        <f t="shared" si="0"/>
        <v>43.041405143661791</v>
      </c>
      <c r="E55">
        <f t="shared" si="1"/>
        <v>1.0638488733066198</v>
      </c>
    </row>
    <row r="56" spans="1:5" x14ac:dyDescent="0.2">
      <c r="A56" s="5">
        <v>2084</v>
      </c>
      <c r="B56" s="5">
        <v>1063.8488733066199</v>
      </c>
      <c r="C56" s="5">
        <f t="shared" si="3"/>
        <v>44105.254016968407</v>
      </c>
      <c r="D56" s="5">
        <f t="shared" si="0"/>
        <v>44.105254016968409</v>
      </c>
      <c r="E56">
        <f t="shared" si="1"/>
        <v>1.0638488733066198</v>
      </c>
    </row>
    <row r="57" spans="1:5" x14ac:dyDescent="0.2">
      <c r="A57" s="5">
        <v>2085</v>
      </c>
      <c r="B57" s="5">
        <v>1063.8488733066199</v>
      </c>
      <c r="C57" s="5">
        <f t="shared" si="3"/>
        <v>45169.102890275026</v>
      </c>
      <c r="D57" s="5">
        <f t="shared" si="0"/>
        <v>45.169102890275028</v>
      </c>
      <c r="E57">
        <f t="shared" si="1"/>
        <v>1.0638488733066198</v>
      </c>
    </row>
    <row r="58" spans="1:5" x14ac:dyDescent="0.2">
      <c r="A58" s="5">
        <v>2086</v>
      </c>
      <c r="B58" s="5">
        <v>1063.8488733066199</v>
      </c>
      <c r="C58" s="5">
        <f t="shared" si="3"/>
        <v>46232.951763581645</v>
      </c>
      <c r="D58" s="5">
        <f t="shared" si="0"/>
        <v>46.232951763581646</v>
      </c>
      <c r="E58">
        <f t="shared" si="1"/>
        <v>1.0638488733066198</v>
      </c>
    </row>
    <row r="59" spans="1:5" x14ac:dyDescent="0.2">
      <c r="A59" s="5">
        <v>2087</v>
      </c>
      <c r="B59" s="5">
        <v>1063.8488733066199</v>
      </c>
      <c r="C59" s="5">
        <f t="shared" si="3"/>
        <v>47296.800636888263</v>
      </c>
      <c r="D59" s="5">
        <f t="shared" si="0"/>
        <v>47.296800636888264</v>
      </c>
      <c r="E59">
        <f t="shared" si="1"/>
        <v>1.0638488733066198</v>
      </c>
    </row>
    <row r="60" spans="1:5" x14ac:dyDescent="0.2">
      <c r="A60" s="5">
        <v>2088</v>
      </c>
      <c r="B60" s="5">
        <v>1063.8488733066199</v>
      </c>
      <c r="C60" s="5">
        <f t="shared" si="3"/>
        <v>48360.649510194882</v>
      </c>
      <c r="D60" s="5">
        <f t="shared" si="0"/>
        <v>48.360649510194882</v>
      </c>
      <c r="E60">
        <f t="shared" si="1"/>
        <v>1.0638488733066198</v>
      </c>
    </row>
    <row r="61" spans="1:5" x14ac:dyDescent="0.2">
      <c r="A61" s="5">
        <v>2089</v>
      </c>
      <c r="B61" s="5">
        <v>1063.8488733066199</v>
      </c>
      <c r="C61" s="5">
        <f t="shared" si="3"/>
        <v>49424.498383501501</v>
      </c>
      <c r="D61" s="5">
        <f t="shared" si="0"/>
        <v>49.424498383501501</v>
      </c>
      <c r="E61">
        <f t="shared" si="1"/>
        <v>1.0638488733066198</v>
      </c>
    </row>
    <row r="62" spans="1:5" x14ac:dyDescent="0.2">
      <c r="A62" s="5">
        <v>2090</v>
      </c>
      <c r="B62" s="5">
        <v>1063.8488733066199</v>
      </c>
      <c r="C62" s="5">
        <f t="shared" si="3"/>
        <v>50488.34725680812</v>
      </c>
      <c r="D62" s="5">
        <f t="shared" si="0"/>
        <v>50.488347256808119</v>
      </c>
      <c r="E62">
        <f t="shared" si="1"/>
        <v>1.0638488733066198</v>
      </c>
    </row>
    <row r="63" spans="1:5" x14ac:dyDescent="0.2">
      <c r="A63" s="5">
        <v>2091</v>
      </c>
      <c r="B63" s="5">
        <v>1063.8488733066199</v>
      </c>
      <c r="C63" s="5">
        <f t="shared" si="3"/>
        <v>51552.196130114738</v>
      </c>
      <c r="D63" s="5">
        <f t="shared" si="0"/>
        <v>51.552196130114737</v>
      </c>
      <c r="E63">
        <f t="shared" si="1"/>
        <v>1.0638488733066198</v>
      </c>
    </row>
    <row r="64" spans="1:5" x14ac:dyDescent="0.2">
      <c r="A64" s="5">
        <v>2092</v>
      </c>
      <c r="B64" s="5">
        <v>1063.8488733066199</v>
      </c>
      <c r="C64" s="5">
        <f t="shared" si="3"/>
        <v>52616.045003421357</v>
      </c>
      <c r="D64" s="5">
        <f t="shared" si="0"/>
        <v>52.616045003421355</v>
      </c>
      <c r="E64">
        <f t="shared" si="1"/>
        <v>1.0638488733066198</v>
      </c>
    </row>
    <row r="65" spans="1:5" x14ac:dyDescent="0.2">
      <c r="A65" s="5">
        <v>2093</v>
      </c>
      <c r="B65" s="5">
        <v>1063.8488733066199</v>
      </c>
      <c r="C65" s="5">
        <f t="shared" si="3"/>
        <v>53679.893876727976</v>
      </c>
      <c r="D65" s="5">
        <f t="shared" si="0"/>
        <v>53.679893876727974</v>
      </c>
      <c r="E65">
        <f t="shared" si="1"/>
        <v>1.0638488733066198</v>
      </c>
    </row>
    <row r="66" spans="1:5" x14ac:dyDescent="0.2">
      <c r="A66" s="5">
        <v>2094</v>
      </c>
      <c r="B66" s="5">
        <v>1063.8488733066199</v>
      </c>
      <c r="C66" s="5">
        <f t="shared" si="3"/>
        <v>54743.742750034595</v>
      </c>
      <c r="D66" s="5">
        <f t="shared" si="0"/>
        <v>54.743742750034592</v>
      </c>
      <c r="E66">
        <f t="shared" si="1"/>
        <v>1.0638488733066198</v>
      </c>
    </row>
    <row r="67" spans="1:5" x14ac:dyDescent="0.2">
      <c r="A67" s="5">
        <v>2095</v>
      </c>
      <c r="B67" s="5">
        <v>1063.8488733066199</v>
      </c>
      <c r="C67" s="5">
        <f t="shared" si="3"/>
        <v>55807.591623341214</v>
      </c>
      <c r="D67" s="5">
        <f t="shared" ref="D67:D72" si="4">C67/1000</f>
        <v>55.80759162334121</v>
      </c>
      <c r="E67">
        <f t="shared" ref="E67:E72" si="5">B67/1000</f>
        <v>1.0638488733066198</v>
      </c>
    </row>
    <row r="68" spans="1:5" x14ac:dyDescent="0.2">
      <c r="A68" s="5">
        <v>2096</v>
      </c>
      <c r="B68" s="5">
        <v>1063.8488733066199</v>
      </c>
      <c r="C68" s="5">
        <f t="shared" ref="C68:C72" si="6">C67+B68</f>
        <v>56871.440496647832</v>
      </c>
      <c r="D68" s="5">
        <f t="shared" si="4"/>
        <v>56.871440496647836</v>
      </c>
      <c r="E68">
        <f t="shared" si="5"/>
        <v>1.0638488733066198</v>
      </c>
    </row>
    <row r="69" spans="1:5" x14ac:dyDescent="0.2">
      <c r="A69" s="5">
        <v>2097</v>
      </c>
      <c r="B69" s="5">
        <v>1063.8488733066199</v>
      </c>
      <c r="C69" s="5">
        <f t="shared" si="6"/>
        <v>57935.289369954451</v>
      </c>
      <c r="D69" s="5">
        <f t="shared" si="4"/>
        <v>57.935289369954454</v>
      </c>
      <c r="E69">
        <f t="shared" si="5"/>
        <v>1.0638488733066198</v>
      </c>
    </row>
    <row r="70" spans="1:5" x14ac:dyDescent="0.2">
      <c r="A70" s="5">
        <v>2098</v>
      </c>
      <c r="B70" s="5">
        <v>1063.8488733066199</v>
      </c>
      <c r="C70" s="5">
        <f t="shared" si="6"/>
        <v>58999.13824326107</v>
      </c>
      <c r="D70" s="5">
        <f t="shared" si="4"/>
        <v>58.999138243261072</v>
      </c>
      <c r="E70">
        <f t="shared" si="5"/>
        <v>1.0638488733066198</v>
      </c>
    </row>
    <row r="71" spans="1:5" x14ac:dyDescent="0.2">
      <c r="A71" s="5">
        <v>2099</v>
      </c>
      <c r="B71" s="5">
        <v>1063.8488733066199</v>
      </c>
      <c r="C71" s="5">
        <f t="shared" si="6"/>
        <v>60062.987116567689</v>
      </c>
      <c r="D71" s="5">
        <f t="shared" si="4"/>
        <v>60.06298711656769</v>
      </c>
      <c r="E71">
        <f t="shared" si="5"/>
        <v>1.0638488733066198</v>
      </c>
    </row>
    <row r="72" spans="1:5" x14ac:dyDescent="0.2">
      <c r="A72" s="5">
        <v>2100</v>
      </c>
      <c r="B72" s="5">
        <v>1063.8488733066199</v>
      </c>
      <c r="C72" s="5">
        <f t="shared" si="6"/>
        <v>61126.835989874307</v>
      </c>
      <c r="D72" s="5">
        <f t="shared" si="4"/>
        <v>61.126835989874309</v>
      </c>
      <c r="E72">
        <f t="shared" si="5"/>
        <v>1.0638488733066198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7895-9AA7-3941-8AFA-2DC71799176B}">
  <dimension ref="A1:C72"/>
  <sheetViews>
    <sheetView tabSelected="1" workbookViewId="0">
      <selection activeCell="D9" sqref="D9"/>
    </sheetView>
  </sheetViews>
  <sheetFormatPr baseColWidth="10" defaultRowHeight="15" x14ac:dyDescent="0.2"/>
  <cols>
    <col min="2" max="2" width="21.6640625" customWidth="1"/>
    <col min="3" max="3" width="26.5" customWidth="1"/>
  </cols>
  <sheetData>
    <row r="1" spans="1:3" x14ac:dyDescent="0.2">
      <c r="A1" t="s">
        <v>64</v>
      </c>
      <c r="B1" t="s">
        <v>70</v>
      </c>
      <c r="C1" t="s">
        <v>72</v>
      </c>
    </row>
    <row r="2" spans="1:3" x14ac:dyDescent="0.2">
      <c r="A2">
        <v>2030</v>
      </c>
      <c r="B2">
        <v>0.05</v>
      </c>
      <c r="C2">
        <v>0.05</v>
      </c>
    </row>
    <row r="3" spans="1:3" x14ac:dyDescent="0.2">
      <c r="A3">
        <v>2031</v>
      </c>
      <c r="B3">
        <v>0.10873000000000001</v>
      </c>
      <c r="C3">
        <v>5.8730000000000004E-2</v>
      </c>
    </row>
    <row r="4" spans="1:3" x14ac:dyDescent="0.2">
      <c r="A4">
        <v>2032</v>
      </c>
      <c r="B4">
        <v>0.17771425800000004</v>
      </c>
      <c r="C4">
        <v>6.8984258000000007E-2</v>
      </c>
    </row>
    <row r="5" spans="1:3" x14ac:dyDescent="0.2">
      <c r="A5">
        <v>2033</v>
      </c>
      <c r="B5">
        <v>0.25874316744680004</v>
      </c>
      <c r="C5">
        <v>8.102890944680001E-2</v>
      </c>
    </row>
    <row r="6" spans="1:3" x14ac:dyDescent="0.2">
      <c r="A6">
        <v>2034</v>
      </c>
      <c r="B6">
        <v>0.35391972448301134</v>
      </c>
      <c r="C6">
        <v>9.5176557036211307E-2</v>
      </c>
    </row>
    <row r="7" spans="1:3" x14ac:dyDescent="0.2">
      <c r="A7">
        <v>2035</v>
      </c>
      <c r="B7">
        <v>0.46571410837774518</v>
      </c>
      <c r="C7">
        <v>0.11179438389473381</v>
      </c>
    </row>
    <row r="8" spans="1:3" x14ac:dyDescent="0.2">
      <c r="A8">
        <v>2036</v>
      </c>
      <c r="B8">
        <v>0.59702779170049947</v>
      </c>
      <c r="C8">
        <v>0.13131368332275434</v>
      </c>
    </row>
    <row r="9" spans="1:3" x14ac:dyDescent="0.2">
      <c r="A9">
        <v>2037</v>
      </c>
      <c r="B9">
        <v>0.75126884413140682</v>
      </c>
      <c r="C9">
        <v>0.15424105243090727</v>
      </c>
    </row>
    <row r="10" spans="1:3" x14ac:dyDescent="0.2">
      <c r="A10">
        <v>2038</v>
      </c>
      <c r="B10">
        <v>0.93244038431675047</v>
      </c>
      <c r="C10">
        <v>0.1811715401853437</v>
      </c>
    </row>
    <row r="11" spans="1:3" x14ac:dyDescent="0.2">
      <c r="A11">
        <v>2039</v>
      </c>
      <c r="B11">
        <v>1.1452444754184552</v>
      </c>
      <c r="C11">
        <v>0.21280409110170473</v>
      </c>
    </row>
    <row r="12" spans="1:3" x14ac:dyDescent="0.2">
      <c r="A12">
        <v>2040</v>
      </c>
      <c r="B12">
        <v>1.3952041608265175</v>
      </c>
      <c r="C12">
        <v>0.2499596854080624</v>
      </c>
    </row>
    <row r="13" spans="1:3" x14ac:dyDescent="0.2">
      <c r="A13">
        <v>2041</v>
      </c>
      <c r="B13">
        <v>1.6888068073068276</v>
      </c>
      <c r="C13">
        <v>0.29360264648031009</v>
      </c>
    </row>
    <row r="14" spans="1:3" x14ac:dyDescent="0.2">
      <c r="A14">
        <v>2042</v>
      </c>
      <c r="B14">
        <v>2.0336724758626001</v>
      </c>
      <c r="C14">
        <v>0.34486566855577228</v>
      </c>
    </row>
    <row r="15" spans="1:3" x14ac:dyDescent="0.2">
      <c r="A15">
        <v>2043</v>
      </c>
      <c r="B15">
        <v>2.4387516901482105</v>
      </c>
      <c r="C15">
        <v>0.40507921428561011</v>
      </c>
    </row>
    <row r="16" spans="1:3" x14ac:dyDescent="0.2">
      <c r="A16">
        <v>2044</v>
      </c>
      <c r="B16">
        <v>2.914557735248088</v>
      </c>
      <c r="C16">
        <v>0.47580604509987767</v>
      </c>
    </row>
    <row r="17" spans="1:3" x14ac:dyDescent="0.2">
      <c r="A17">
        <v>2045</v>
      </c>
      <c r="B17">
        <v>3.4734395158224047</v>
      </c>
      <c r="C17">
        <v>0.55888178057431637</v>
      </c>
    </row>
    <row r="18" spans="1:3" x14ac:dyDescent="0.2">
      <c r="A18">
        <v>2046</v>
      </c>
      <c r="B18">
        <v>4.1299020552849974</v>
      </c>
      <c r="C18">
        <v>0.65646253946259203</v>
      </c>
    </row>
    <row r="19" spans="1:3" x14ac:dyDescent="0.2">
      <c r="A19">
        <v>2047</v>
      </c>
      <c r="B19">
        <v>4.9009829541377572</v>
      </c>
      <c r="C19">
        <v>0.77108089885276065</v>
      </c>
    </row>
    <row r="20" spans="1:3" x14ac:dyDescent="0.2">
      <c r="A20">
        <v>2048</v>
      </c>
      <c r="B20">
        <v>5.8066945779302106</v>
      </c>
      <c r="C20">
        <v>0.90571162379245274</v>
      </c>
    </row>
    <row r="21" spans="1:3" x14ac:dyDescent="0.2">
      <c r="A21">
        <v>2049</v>
      </c>
      <c r="B21">
        <v>6.8705434512368253</v>
      </c>
      <c r="C21">
        <v>1.0638488733066152</v>
      </c>
    </row>
    <row r="22" spans="1:3" x14ac:dyDescent="0.2">
      <c r="A22">
        <v>2050</v>
      </c>
      <c r="B22">
        <v>7.9343923245434409</v>
      </c>
      <c r="C22">
        <v>1.0638488733066152</v>
      </c>
    </row>
    <row r="23" spans="1:3" x14ac:dyDescent="0.2">
      <c r="A23">
        <v>2051</v>
      </c>
      <c r="B23">
        <v>8.9982411978500565</v>
      </c>
      <c r="C23">
        <v>1.0638488733066152</v>
      </c>
    </row>
    <row r="24" spans="1:3" x14ac:dyDescent="0.2">
      <c r="A24">
        <v>2052</v>
      </c>
      <c r="B24">
        <v>10.062090071156671</v>
      </c>
      <c r="C24">
        <v>1.0638488733066152</v>
      </c>
    </row>
    <row r="25" spans="1:3" x14ac:dyDescent="0.2">
      <c r="A25">
        <v>2053</v>
      </c>
      <c r="B25">
        <v>11.125938944463288</v>
      </c>
      <c r="C25">
        <v>1.0638488733066152</v>
      </c>
    </row>
    <row r="26" spans="1:3" x14ac:dyDescent="0.2">
      <c r="A26">
        <v>2054</v>
      </c>
      <c r="B26">
        <v>12.189787817769902</v>
      </c>
      <c r="C26">
        <v>1.0638488733066152</v>
      </c>
    </row>
    <row r="27" spans="1:3" x14ac:dyDescent="0.2">
      <c r="A27">
        <v>2055</v>
      </c>
      <c r="B27">
        <v>13.253636691076517</v>
      </c>
      <c r="C27">
        <v>1.0638488733066152</v>
      </c>
    </row>
    <row r="28" spans="1:3" x14ac:dyDescent="0.2">
      <c r="A28">
        <v>2056</v>
      </c>
      <c r="B28">
        <v>14.317485564383132</v>
      </c>
      <c r="C28">
        <v>1.0638488733066152</v>
      </c>
    </row>
    <row r="29" spans="1:3" x14ac:dyDescent="0.2">
      <c r="A29">
        <v>2057</v>
      </c>
      <c r="B29">
        <v>15.381334437689748</v>
      </c>
      <c r="C29">
        <v>1.0638488733066152</v>
      </c>
    </row>
    <row r="30" spans="1:3" x14ac:dyDescent="0.2">
      <c r="A30">
        <v>2058</v>
      </c>
      <c r="B30">
        <v>16.445183310996363</v>
      </c>
      <c r="C30">
        <v>1.0638488733066152</v>
      </c>
    </row>
    <row r="31" spans="1:3" x14ac:dyDescent="0.2">
      <c r="A31">
        <v>2059</v>
      </c>
      <c r="B31">
        <v>17.509032184302978</v>
      </c>
      <c r="C31">
        <v>1.0638488733066152</v>
      </c>
    </row>
    <row r="32" spans="1:3" x14ac:dyDescent="0.2">
      <c r="A32">
        <v>2060</v>
      </c>
      <c r="B32">
        <v>18.572881057609592</v>
      </c>
      <c r="C32">
        <v>1.0638488733066152</v>
      </c>
    </row>
    <row r="33" spans="1:3" x14ac:dyDescent="0.2">
      <c r="A33">
        <v>2061</v>
      </c>
      <c r="B33">
        <v>19.636729930916207</v>
      </c>
      <c r="C33">
        <v>1.0638488733066152</v>
      </c>
    </row>
    <row r="34" spans="1:3" x14ac:dyDescent="0.2">
      <c r="A34">
        <v>2062</v>
      </c>
      <c r="B34">
        <v>20.700578804222822</v>
      </c>
      <c r="C34">
        <v>1.0638488733066152</v>
      </c>
    </row>
    <row r="35" spans="1:3" x14ac:dyDescent="0.2">
      <c r="A35">
        <v>2063</v>
      </c>
      <c r="B35">
        <v>21.76442767752944</v>
      </c>
      <c r="C35">
        <v>1.0638488733066152</v>
      </c>
    </row>
    <row r="36" spans="1:3" x14ac:dyDescent="0.2">
      <c r="A36">
        <v>2064</v>
      </c>
      <c r="B36">
        <v>22.828276550836055</v>
      </c>
      <c r="C36">
        <v>1.0638488733066152</v>
      </c>
    </row>
    <row r="37" spans="1:3" x14ac:dyDescent="0.2">
      <c r="A37">
        <v>2065</v>
      </c>
      <c r="B37">
        <v>23.892125424142669</v>
      </c>
      <c r="C37">
        <v>1.0638488733066152</v>
      </c>
    </row>
    <row r="38" spans="1:3" x14ac:dyDescent="0.2">
      <c r="A38">
        <v>2066</v>
      </c>
      <c r="B38">
        <v>24.955974297449284</v>
      </c>
      <c r="C38">
        <v>1.0638488733066152</v>
      </c>
    </row>
    <row r="39" spans="1:3" x14ac:dyDescent="0.2">
      <c r="A39">
        <v>2067</v>
      </c>
      <c r="B39">
        <v>26.019823170755899</v>
      </c>
      <c r="C39">
        <v>1.0638488733066152</v>
      </c>
    </row>
    <row r="40" spans="1:3" x14ac:dyDescent="0.2">
      <c r="A40">
        <v>2068</v>
      </c>
      <c r="B40">
        <v>27.083672044062514</v>
      </c>
      <c r="C40">
        <v>1.0638488733066152</v>
      </c>
    </row>
    <row r="41" spans="1:3" x14ac:dyDescent="0.2">
      <c r="A41">
        <v>2069</v>
      </c>
      <c r="B41">
        <v>28.147520917369128</v>
      </c>
      <c r="C41">
        <v>1.0638488733066152</v>
      </c>
    </row>
    <row r="42" spans="1:3" x14ac:dyDescent="0.2">
      <c r="A42">
        <v>2070</v>
      </c>
      <c r="B42">
        <v>29.211369790675743</v>
      </c>
      <c r="C42">
        <v>1.0638488733066152</v>
      </c>
    </row>
    <row r="43" spans="1:3" x14ac:dyDescent="0.2">
      <c r="A43">
        <v>2071</v>
      </c>
      <c r="B43">
        <v>30.275218663982358</v>
      </c>
      <c r="C43">
        <v>1.0638488733066152</v>
      </c>
    </row>
    <row r="44" spans="1:3" x14ac:dyDescent="0.2">
      <c r="A44">
        <v>2072</v>
      </c>
      <c r="B44">
        <v>31.33906753728898</v>
      </c>
      <c r="C44">
        <v>1.0638488733066198</v>
      </c>
    </row>
    <row r="45" spans="1:3" x14ac:dyDescent="0.2">
      <c r="A45">
        <v>2073</v>
      </c>
      <c r="B45">
        <v>32.402916410595594</v>
      </c>
      <c r="C45">
        <v>1.0638488733066198</v>
      </c>
    </row>
    <row r="46" spans="1:3" x14ac:dyDescent="0.2">
      <c r="A46">
        <v>2074</v>
      </c>
      <c r="B46">
        <v>33.46676528390222</v>
      </c>
      <c r="C46">
        <v>1.0638488733066198</v>
      </c>
    </row>
    <row r="47" spans="1:3" x14ac:dyDescent="0.2">
      <c r="A47">
        <v>2075</v>
      </c>
      <c r="B47">
        <v>34.530614157208838</v>
      </c>
      <c r="C47">
        <v>1.0638488733066198</v>
      </c>
    </row>
    <row r="48" spans="1:3" x14ac:dyDescent="0.2">
      <c r="A48">
        <v>2076</v>
      </c>
      <c r="B48">
        <v>35.594463030515456</v>
      </c>
      <c r="C48">
        <v>1.0638488733066198</v>
      </c>
    </row>
    <row r="49" spans="1:3" x14ac:dyDescent="0.2">
      <c r="A49">
        <v>2077</v>
      </c>
      <c r="B49">
        <v>36.658311903822074</v>
      </c>
      <c r="C49">
        <v>1.0638488733066198</v>
      </c>
    </row>
    <row r="50" spans="1:3" x14ac:dyDescent="0.2">
      <c r="A50">
        <v>2078</v>
      </c>
      <c r="B50">
        <v>37.722160777128693</v>
      </c>
      <c r="C50">
        <v>1.0638488733066198</v>
      </c>
    </row>
    <row r="51" spans="1:3" x14ac:dyDescent="0.2">
      <c r="A51">
        <v>2079</v>
      </c>
      <c r="B51">
        <v>38.786009650435311</v>
      </c>
      <c r="C51">
        <v>1.0638488733066198</v>
      </c>
    </row>
    <row r="52" spans="1:3" x14ac:dyDescent="0.2">
      <c r="A52">
        <v>2080</v>
      </c>
      <c r="B52">
        <v>39.849858523741929</v>
      </c>
      <c r="C52">
        <v>1.0638488733066198</v>
      </c>
    </row>
    <row r="53" spans="1:3" x14ac:dyDescent="0.2">
      <c r="A53">
        <v>2081</v>
      </c>
      <c r="B53">
        <v>40.913707397048547</v>
      </c>
      <c r="C53">
        <v>1.0638488733066198</v>
      </c>
    </row>
    <row r="54" spans="1:3" x14ac:dyDescent="0.2">
      <c r="A54">
        <v>2082</v>
      </c>
      <c r="B54">
        <v>41.977556270355173</v>
      </c>
      <c r="C54">
        <v>1.0638488733066198</v>
      </c>
    </row>
    <row r="55" spans="1:3" x14ac:dyDescent="0.2">
      <c r="A55">
        <v>2083</v>
      </c>
      <c r="B55">
        <v>43.041405143661791</v>
      </c>
      <c r="C55">
        <v>1.0638488733066198</v>
      </c>
    </row>
    <row r="56" spans="1:3" x14ac:dyDescent="0.2">
      <c r="A56">
        <v>2084</v>
      </c>
      <c r="B56">
        <v>44.105254016968409</v>
      </c>
      <c r="C56">
        <v>1.0638488733066198</v>
      </c>
    </row>
    <row r="57" spans="1:3" x14ac:dyDescent="0.2">
      <c r="A57">
        <v>2085</v>
      </c>
      <c r="B57">
        <v>45.169102890275028</v>
      </c>
      <c r="C57">
        <v>1.0638488733066198</v>
      </c>
    </row>
    <row r="58" spans="1:3" x14ac:dyDescent="0.2">
      <c r="A58">
        <v>2086</v>
      </c>
      <c r="B58">
        <v>46.232951763581646</v>
      </c>
      <c r="C58">
        <v>1.0638488733066198</v>
      </c>
    </row>
    <row r="59" spans="1:3" x14ac:dyDescent="0.2">
      <c r="A59">
        <v>2087</v>
      </c>
      <c r="B59">
        <v>47.296800636888264</v>
      </c>
      <c r="C59">
        <v>1.0638488733066198</v>
      </c>
    </row>
    <row r="60" spans="1:3" x14ac:dyDescent="0.2">
      <c r="A60">
        <v>2088</v>
      </c>
      <c r="B60">
        <v>48.360649510194882</v>
      </c>
      <c r="C60">
        <v>1.0638488733066198</v>
      </c>
    </row>
    <row r="61" spans="1:3" x14ac:dyDescent="0.2">
      <c r="A61">
        <v>2089</v>
      </c>
      <c r="B61">
        <v>49.424498383501501</v>
      </c>
      <c r="C61">
        <v>1.0638488733066198</v>
      </c>
    </row>
    <row r="62" spans="1:3" x14ac:dyDescent="0.2">
      <c r="A62">
        <v>2090</v>
      </c>
      <c r="B62">
        <v>50.488347256808119</v>
      </c>
      <c r="C62">
        <v>1.0638488733066198</v>
      </c>
    </row>
    <row r="63" spans="1:3" x14ac:dyDescent="0.2">
      <c r="A63">
        <v>2091</v>
      </c>
      <c r="B63">
        <v>51.552196130114737</v>
      </c>
      <c r="C63">
        <v>1.0638488733066198</v>
      </c>
    </row>
    <row r="64" spans="1:3" x14ac:dyDescent="0.2">
      <c r="A64">
        <v>2092</v>
      </c>
      <c r="B64">
        <v>52.616045003421355</v>
      </c>
      <c r="C64">
        <v>1.0638488733066198</v>
      </c>
    </row>
    <row r="65" spans="1:3" x14ac:dyDescent="0.2">
      <c r="A65">
        <v>2093</v>
      </c>
      <c r="B65">
        <v>53.679893876727974</v>
      </c>
      <c r="C65">
        <v>1.0638488733066198</v>
      </c>
    </row>
    <row r="66" spans="1:3" x14ac:dyDescent="0.2">
      <c r="A66">
        <v>2094</v>
      </c>
      <c r="B66">
        <v>54.743742750034592</v>
      </c>
      <c r="C66">
        <v>1.0638488733066198</v>
      </c>
    </row>
    <row r="67" spans="1:3" x14ac:dyDescent="0.2">
      <c r="A67">
        <v>2095</v>
      </c>
      <c r="B67">
        <v>55.80759162334121</v>
      </c>
      <c r="C67">
        <v>1.0638488733066198</v>
      </c>
    </row>
    <row r="68" spans="1:3" x14ac:dyDescent="0.2">
      <c r="A68">
        <v>2096</v>
      </c>
      <c r="B68">
        <v>56.871440496647836</v>
      </c>
      <c r="C68">
        <v>1.0638488733066198</v>
      </c>
    </row>
    <row r="69" spans="1:3" x14ac:dyDescent="0.2">
      <c r="A69">
        <v>2097</v>
      </c>
      <c r="B69">
        <v>57.935289369954454</v>
      </c>
      <c r="C69">
        <v>1.0638488733066198</v>
      </c>
    </row>
    <row r="70" spans="1:3" x14ac:dyDescent="0.2">
      <c r="A70">
        <v>2098</v>
      </c>
      <c r="B70">
        <v>58.999138243261072</v>
      </c>
      <c r="C70">
        <v>1.0638488733066198</v>
      </c>
    </row>
    <row r="71" spans="1:3" x14ac:dyDescent="0.2">
      <c r="A71">
        <v>2099</v>
      </c>
      <c r="B71">
        <v>60.06298711656769</v>
      </c>
      <c r="C71">
        <v>1.0638488733066198</v>
      </c>
    </row>
    <row r="72" spans="1:3" x14ac:dyDescent="0.2">
      <c r="A72">
        <v>2100</v>
      </c>
      <c r="B72">
        <v>61.126835989874309</v>
      </c>
      <c r="C72">
        <v>1.0638488733066198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S5</vt:lpstr>
      <vt:lpstr>Sheet3</vt:lpstr>
      <vt:lpstr>2050Const</vt:lpstr>
      <vt:lpstr>Sheet8</vt:lpstr>
      <vt:lpstr>2050_5%GR</vt:lpstr>
      <vt:lpstr>2050_IOGP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Gransee</dc:creator>
  <cp:lastModifiedBy>Kevin Gransee</cp:lastModifiedBy>
  <dcterms:created xsi:type="dcterms:W3CDTF">2026-01-22T10:41:09Z</dcterms:created>
  <dcterms:modified xsi:type="dcterms:W3CDTF">2026-01-26T08:14:49Z</dcterms:modified>
</cp:coreProperties>
</file>